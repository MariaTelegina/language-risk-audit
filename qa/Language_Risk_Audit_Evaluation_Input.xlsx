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mariatelegina/Downloads/"/>
    </mc:Choice>
  </mc:AlternateContent>
  <xr:revisionPtr revIDLastSave="0" documentId="13_ncr:1_{75F26DE6-4326-C04A-84A7-5F5B462DB648}" xr6:coauthVersionLast="47" xr6:coauthVersionMax="47" xr10:uidLastSave="{00000000-0000-0000-0000-000000000000}"/>
  <bookViews>
    <workbookView xWindow="-340" yWindow="760" windowWidth="29400" windowHeight="17600" activeTab="1" xr2:uid="{00000000-000D-0000-FFFF-FFFF00000000}"/>
  </bookViews>
  <sheets>
    <sheet name="README" sheetId="1" r:id="rId1"/>
    <sheet name="Case Input" sheetId="2" r:id="rId2"/>
    <sheet name="Sheet2" sheetId="6" r:id="rId3"/>
    <sheet name="Sheet3" sheetId="7" r:id="rId4"/>
    <sheet name="Test Runs" sheetId="3" r:id="rId5"/>
    <sheet name="Rubric" sheetId="4" r:id="rId6"/>
    <sheet name="Raw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3" i="3" l="1"/>
  <c r="C33" i="3"/>
  <c r="B33" i="3"/>
  <c r="A33" i="3"/>
  <c r="O32" i="3"/>
  <c r="C32" i="3"/>
  <c r="B32" i="3"/>
  <c r="A32" i="3"/>
  <c r="O31" i="3"/>
  <c r="C31" i="3"/>
  <c r="B31" i="3"/>
  <c r="A31" i="3"/>
  <c r="O30" i="3"/>
  <c r="C30" i="3"/>
  <c r="B30" i="3"/>
  <c r="A30" i="3"/>
  <c r="O29" i="3"/>
  <c r="C29" i="3"/>
  <c r="B29" i="3"/>
  <c r="A29" i="3"/>
  <c r="O28" i="3"/>
  <c r="C28" i="3"/>
  <c r="B28" i="3"/>
  <c r="A28" i="3"/>
  <c r="O27" i="3"/>
  <c r="C27" i="3"/>
  <c r="B27" i="3"/>
  <c r="A27" i="3"/>
  <c r="O26" i="3"/>
  <c r="C26" i="3"/>
  <c r="B26" i="3"/>
  <c r="A26" i="3"/>
  <c r="O25" i="3"/>
  <c r="C25" i="3"/>
  <c r="B25" i="3"/>
  <c r="A25" i="3"/>
  <c r="O24" i="3"/>
  <c r="C24" i="3"/>
  <c r="B24" i="3"/>
  <c r="A24" i="3"/>
  <c r="O23" i="3"/>
  <c r="C23" i="3"/>
  <c r="B23" i="3"/>
  <c r="A23" i="3"/>
  <c r="O22" i="3"/>
  <c r="C22" i="3"/>
  <c r="B22" i="3"/>
  <c r="A22" i="3"/>
  <c r="O21" i="3"/>
  <c r="C21" i="3"/>
  <c r="B21" i="3"/>
  <c r="A21" i="3"/>
  <c r="O20" i="3"/>
  <c r="C20" i="3"/>
  <c r="B20" i="3"/>
  <c r="A20" i="3"/>
  <c r="O19" i="3"/>
  <c r="C19" i="3"/>
  <c r="B19" i="3"/>
  <c r="A19" i="3"/>
  <c r="O18" i="3"/>
  <c r="C18" i="3"/>
  <c r="B18" i="3"/>
  <c r="A18" i="3"/>
  <c r="O17" i="3"/>
  <c r="C17" i="3"/>
  <c r="B17" i="3"/>
  <c r="A17" i="3"/>
  <c r="O16" i="3"/>
  <c r="C16" i="3"/>
  <c r="B16" i="3"/>
  <c r="A16" i="3"/>
  <c r="O15" i="3"/>
  <c r="C15" i="3"/>
  <c r="B15" i="3"/>
  <c r="A15" i="3"/>
  <c r="O14" i="3"/>
  <c r="C14" i="3"/>
  <c r="B14" i="3"/>
  <c r="A14" i="3"/>
  <c r="O13" i="3"/>
  <c r="C13" i="3"/>
  <c r="B13" i="3"/>
  <c r="A13" i="3"/>
  <c r="O12" i="3"/>
  <c r="C12" i="3"/>
  <c r="B12" i="3"/>
  <c r="A12" i="3"/>
  <c r="O11" i="3"/>
  <c r="C11" i="3"/>
  <c r="B11" i="3"/>
  <c r="A11" i="3"/>
  <c r="O10" i="3"/>
  <c r="C10" i="3"/>
  <c r="B10" i="3"/>
  <c r="A10" i="3"/>
  <c r="O9" i="3"/>
  <c r="C9" i="3"/>
  <c r="B9" i="3"/>
  <c r="A9" i="3"/>
  <c r="O8" i="3"/>
  <c r="C8" i="3"/>
  <c r="B8" i="3"/>
  <c r="A8" i="3"/>
  <c r="O7" i="3"/>
  <c r="C7" i="3"/>
  <c r="B7" i="3"/>
  <c r="A7" i="3"/>
  <c r="O6" i="3"/>
  <c r="C6" i="3"/>
  <c r="B6" i="3"/>
  <c r="A6" i="3"/>
  <c r="O5" i="3"/>
  <c r="C5" i="3"/>
  <c r="B5" i="3"/>
  <c r="A5" i="3"/>
  <c r="O4" i="3"/>
  <c r="C4" i="3"/>
  <c r="B4" i="3"/>
  <c r="A4" i="3"/>
</calcChain>
</file>

<file path=xl/sharedStrings.xml><?xml version="1.0" encoding="utf-8"?>
<sst xmlns="http://schemas.openxmlformats.org/spreadsheetml/2006/main" count="1496" uniqueCount="673">
  <si>
    <t>Language Risk Audit — Evaluation Input Workbook</t>
  </si>
  <si>
    <t>Purpose</t>
  </si>
  <si>
    <t>Create, review and test a five-case pack now; expand the same structure to 25–30 cases later.</t>
  </si>
  <si>
    <t>Current scope</t>
  </si>
  <si>
    <t>Indian English, Singapore English and an American English control.</t>
  </si>
  <si>
    <t>Today’s target</t>
  </si>
  <si>
    <t>Complete and review IND-01, IND-02, SG-01, SG-02 and US-01.</t>
  </si>
  <si>
    <t>Important</t>
  </si>
  <si>
    <t>The three prototype examples are starting material, not validated benchmark items.</t>
  </si>
  <si>
    <t>Before testing</t>
  </si>
  <si>
    <t>Write the intended meaning, possible misunderstanding, expected severity and expected recommendation.</t>
  </si>
  <si>
    <t>After testing</t>
  </si>
  <si>
    <t>Record the complete output and scores in Test Runs. Do not change the prompt until all five cases are run.</t>
  </si>
  <si>
    <t>Sheet</t>
  </si>
  <si>
    <t>How to use it</t>
  </si>
  <si>
    <t>Case Input</t>
  </si>
  <si>
    <t>Enter one case per row. Yellow cells are the fields that require team review before testing.</t>
  </si>
  <si>
    <t>Test Runs</t>
  </si>
  <si>
    <t>Record one run per case, score six criteria from 0–2, and assign failure labels and priority.</t>
  </si>
  <si>
    <t>Rubric</t>
  </si>
  <si>
    <t>Use the shared definitions for scores, failure labels and priorities.</t>
  </si>
  <si>
    <t>Provenance rule</t>
  </si>
  <si>
    <t>Never paste confidential messages. Do not copy corpus text unless its licence permits reuse.</t>
  </si>
  <si>
    <t>Case Input — reference answers must be completed before testing</t>
  </si>
  <si>
    <t>Case ID</t>
  </si>
  <si>
    <t>Status</t>
  </si>
  <si>
    <t>Source variety</t>
  </si>
  <si>
    <t>Original text</t>
  </si>
  <si>
    <t>Context</t>
  </si>
  <si>
    <t>Intended audience</t>
  </si>
  <si>
    <t>Intended meaning</t>
  </si>
  <si>
    <t>Possible misunderstanding</t>
  </si>
  <si>
    <t>Expected severity</t>
  </si>
  <si>
    <t>Expected recommendation</t>
  </si>
  <si>
    <t>What the audit must not do</t>
  </si>
  <si>
    <t>Source type</t>
  </si>
  <si>
    <t>Source / provenance</t>
  </si>
  <si>
    <t>Source URL</t>
  </si>
  <si>
    <t>Reviewer</t>
  </si>
  <si>
    <t>IND-01</t>
  </si>
  <si>
    <t>Needs review</t>
  </si>
  <si>
    <t>Indian English</t>
  </si>
  <si>
    <t>Please revert by tomorrow.</t>
  </si>
  <si>
    <t>Workplace message</t>
  </si>
  <si>
    <t>International colleague</t>
  </si>
  <si>
    <t>Please reply by tomorrow.</t>
  </si>
  <si>
    <t>A reader may understand revert as returning something to an earlier state rather than replying.</t>
  </si>
  <si>
    <t>Medium</t>
  </si>
  <si>
    <t>For a broad audience, consider: ‘Please reply by tomorrow.’</t>
  </si>
  <si>
    <t>Describe Indian English as incorrect or claim that every reader will misunderstand it.</t>
  </si>
  <si>
    <t>INTERNAL_DEMO</t>
  </si>
  <si>
    <t>Current prototype example; linguistic interpretation requires reviewer confirmation.</t>
  </si>
  <si>
    <t>IND-02</t>
  </si>
  <si>
    <t>Can we prepone the meeting?</t>
  </si>
  <si>
    <t>Workplace scheduling</t>
  </si>
  <si>
    <t>Can we move the meeting to an earlier time or date?</t>
  </si>
  <si>
    <t>Prepone may be unfamiliar to readers who do not use Indian English.</t>
  </si>
  <si>
    <t>For a broad audience, consider: ‘Can we move the meeting earlier?’</t>
  </si>
  <si>
    <t>Treat a locally established word as inherently defective.</t>
  </si>
  <si>
    <t>Current prototype example; add an external source before treating it as a validated test case.</t>
  </si>
  <si>
    <t>SG-01</t>
  </si>
  <si>
    <t>Singapore English</t>
  </si>
  <si>
    <t>Please send me the document by today, can?</t>
  </si>
  <si>
    <t>Workplace request</t>
  </si>
  <si>
    <t>The writer is asking whether the recipient can send the document today.</t>
  </si>
  <si>
    <t>A reader unfamiliar with this use of ‘can’ may find the ending incomplete or unusually abrupt.</t>
  </si>
  <si>
    <t>Low</t>
  </si>
  <si>
    <t>Retain it for an audience familiar with this usage; for a broader audience, use: ‘Could you send me the document today?’</t>
  </si>
  <si>
    <t>Stereotype Singaporean speakers or automatically mark the sentence as bad English.</t>
  </si>
  <si>
    <t>SG-02</t>
  </si>
  <si>
    <t>Draft</t>
  </si>
  <si>
    <t>US-01</t>
  </si>
  <si>
    <t>American English</t>
  </si>
  <si>
    <t>Please send the revised report by 5 pm tomorrow.</t>
  </si>
  <si>
    <t>Send the revised report no later than 5 pm tomorrow.</t>
  </si>
  <si>
    <t>No substantial misunderstanding is expected when the date and time zone are shared.</t>
  </si>
  <si>
    <t>No adaptation is necessary; add a time zone only when recipients are in different locations.</t>
  </si>
  <si>
    <t>Invent a dialect risk or recommend unnecessary rewriting.</t>
  </si>
  <si>
    <t>TEAM_CREATED_CONTROL</t>
  </si>
  <si>
    <t>Team-authored low-risk control case.</t>
  </si>
  <si>
    <t>CASE-07</t>
  </si>
  <si>
    <t>CASE-08</t>
  </si>
  <si>
    <t>CASE-09</t>
  </si>
  <si>
    <t>CASE-10</t>
  </si>
  <si>
    <t>CASE-11</t>
  </si>
  <si>
    <t>CASE-12</t>
  </si>
  <si>
    <t>CASE-13</t>
  </si>
  <si>
    <t>CASE-14</t>
  </si>
  <si>
    <t>CASE-15</t>
  </si>
  <si>
    <t>CASE-16</t>
  </si>
  <si>
    <t>CASE-17</t>
  </si>
  <si>
    <t>CASE-18</t>
  </si>
  <si>
    <t>CASE-19</t>
  </si>
  <si>
    <t>CASE-20</t>
  </si>
  <si>
    <t>CASE-21</t>
  </si>
  <si>
    <t>CASE-22</t>
  </si>
  <si>
    <t>CASE-23</t>
  </si>
  <si>
    <t>CASE-24</t>
  </si>
  <si>
    <t>CASE-25</t>
  </si>
  <si>
    <t>CASE-26</t>
  </si>
  <si>
    <t>CASE-27</t>
  </si>
  <si>
    <t>CASE-28</t>
  </si>
  <si>
    <t>CASE-29</t>
  </si>
  <si>
    <t>CASE-30</t>
  </si>
  <si>
    <t>Test Runs — record the complete result before changing the prompt</t>
  </si>
  <si>
    <t>Scores use 0 = Fail, 1 = Partial, 2 = Pass. Total score is calculated automatically out of 12.</t>
  </si>
  <si>
    <t>Run date</t>
  </si>
  <si>
    <t>App version / commit</t>
  </si>
  <si>
    <t>Run completed?</t>
  </si>
  <si>
    <t>Latency (sec)</t>
  </si>
  <si>
    <t>Actual result / summary</t>
  </si>
  <si>
    <t>Meaning</t>
  </si>
  <si>
    <t>Variety awareness</t>
  </si>
  <si>
    <t>Risk identification</t>
  </si>
  <si>
    <t>Non-stereotyping</t>
  </si>
  <si>
    <t>Recommendation</t>
  </si>
  <si>
    <t>Confidence</t>
  </si>
  <si>
    <t>Total / 12</t>
  </si>
  <si>
    <t>Failure labels</t>
  </si>
  <si>
    <t>Priority</t>
  </si>
  <si>
    <t>Print / PDF</t>
  </si>
  <si>
    <t>Screenshot / result link</t>
  </si>
  <si>
    <t>Problems / notes</t>
  </si>
  <si>
    <t>Owner</t>
  </si>
  <si>
    <t>Retest status</t>
  </si>
  <si>
    <t>Evaluation Rubric and Failure Labels</t>
  </si>
  <si>
    <t>Criterion</t>
  </si>
  <si>
    <t>0 — Fail</t>
  </si>
  <si>
    <t>1 — Partial</t>
  </si>
  <si>
    <t>2 — Pass</t>
  </si>
  <si>
    <t>Misunderstands the text</t>
  </si>
  <si>
    <t>Partly understands it</t>
  </si>
  <si>
    <t>Accurately explains it</t>
  </si>
  <si>
    <t>Wrong or absent</t>
  </si>
  <si>
    <t>Recognises some features</t>
  </si>
  <si>
    <t>Handles the variety accurately</t>
  </si>
  <si>
    <t>Misses or invents risk</t>
  </si>
  <si>
    <t>Broadly correct but vague</t>
  </si>
  <si>
    <t>Identifies the actual communication gap</t>
  </si>
  <si>
    <t>Uses stereotypes or deficit language</t>
  </si>
  <si>
    <t>Some questionable generalisation</t>
  </si>
  <si>
    <t>Careful, contextual and respectful</t>
  </si>
  <si>
    <t>Harmful or unnecessary correction</t>
  </si>
  <si>
    <t>Generic advice</t>
  </si>
  <si>
    <t>Specific, proportionate and useful</t>
  </si>
  <si>
    <t>Presents guesses as facts</t>
  </si>
  <si>
    <t>Some qualification</t>
  </si>
  <si>
    <t>Distinguishes evidence from uncertainty</t>
  </si>
  <si>
    <t>Failure label</t>
  </si>
  <si>
    <t>MISSED_RISK</t>
  </si>
  <si>
    <t>A genuine communication problem was not identified</t>
  </si>
  <si>
    <t>FALSE_ALARM</t>
  </si>
  <si>
    <t>A harmless feature was treated as risky</t>
  </si>
  <si>
    <t>MEANING_ERROR</t>
  </si>
  <si>
    <t>The text was misunderstood</t>
  </si>
  <si>
    <t>VARIETY_ERROR</t>
  </si>
  <si>
    <t>The English variety was misidentified or mishandled</t>
  </si>
  <si>
    <t>STEREOTYPE</t>
  </si>
  <si>
    <t>The explanation relied on cultural or linguistic stereotypes</t>
  </si>
  <si>
    <t>DEFICIT_FRAMING</t>
  </si>
  <si>
    <t>Legitimate variation was described as bad English</t>
  </si>
  <si>
    <t>VAGUE_ADVICE</t>
  </si>
  <si>
    <t>The recommendation was too generic to use</t>
  </si>
  <si>
    <t>OVER_CORRECTION</t>
  </si>
  <si>
    <t>The tool unnecessarily standardised the language</t>
  </si>
  <si>
    <t>SCORE_MISMATCH</t>
  </si>
  <si>
    <t>The numerical result contradicted the explanation</t>
  </si>
  <si>
    <t>TECHNICAL_FAILURE</t>
  </si>
  <si>
    <t>The workflow, deployment or download failed</t>
  </si>
  <si>
    <t>UNCLEAR_UI</t>
  </si>
  <si>
    <t>The content existed but was difficult to understand</t>
  </si>
  <si>
    <t>Action</t>
  </si>
  <si>
    <t>P0</t>
  </si>
  <si>
    <t>Product or demo cannot run</t>
  </si>
  <si>
    <t>Fix immediately</t>
  </si>
  <si>
    <t>P1</t>
  </si>
  <si>
    <t>Serious content error, stereotyping or broken audit output</t>
  </si>
  <si>
    <t>Fix before public V0</t>
  </si>
  <si>
    <t>P2</t>
  </si>
  <si>
    <t>Confusing wording or non-critical interface problem</t>
  </si>
  <si>
    <t>Fix if time permits</t>
  </si>
  <si>
    <t>P3</t>
  </si>
  <si>
    <t>Cosmetic detail</t>
  </si>
  <si>
    <t>Leave until after V0</t>
  </si>
  <si>
    <t>Reference-answer field</t>
  </si>
  <si>
    <t>Question to answer before running the app</t>
  </si>
  <si>
    <t>What does the writer mean in this context?</t>
  </si>
  <si>
    <t>Potential communication gap</t>
  </si>
  <si>
    <t>What might an unfamiliar audience misunderstand?</t>
  </si>
  <si>
    <t>Risk level</t>
  </si>
  <si>
    <t>Low, medium or high — and why?</t>
  </si>
  <si>
    <t>Appropriate recommendation</t>
  </si>
  <si>
    <t>Retain locally, explain, or adapt for a broader audience?</t>
  </si>
  <si>
    <t>Must not do</t>
  </si>
  <si>
    <t>What stereotyping, deficit framing or false certainty must the audit avoid?</t>
  </si>
  <si>
    <t>Provenance</t>
  </si>
  <si>
    <t>Where did the example or documented feature come from?</t>
  </si>
  <si>
    <t>Candidate ID</t>
  </si>
  <si>
    <t>eWAVE ID</t>
  </si>
  <si>
    <t>Test-ready text</t>
  </si>
  <si>
    <t>Raw eWAVE example</t>
  </si>
  <si>
    <t>Variety</t>
  </si>
  <si>
    <t>Variety type</t>
  </si>
  <si>
    <t>Review status</t>
  </si>
  <si>
    <t>SG-EW-3580</t>
  </si>
  <si>
    <t>So you guys know or not?</t>
  </si>
  <si>
    <t>Colloquial Singapore English (Singlish)</t>
  </si>
  <si>
    <t>High-contact L1 variety</t>
  </si>
  <si>
    <t>DOCUMENTED_FEATURE</t>
  </si>
  <si>
    <t>https://ewave-atlas.org/sentences/3580</t>
  </si>
  <si>
    <t>Unreviewed</t>
  </si>
  <si>
    <t>SG-EW-3581</t>
  </si>
  <si>
    <t>I got from the career fax.</t>
  </si>
  <si>
    <t>I got Ø from the career fax.</t>
  </si>
  <si>
    <t>https://ewave-atlas.org/sentences/3581</t>
  </si>
  <si>
    <t>Needs context</t>
  </si>
  <si>
    <t>SG-EW-3582</t>
  </si>
  <si>
    <t>I go in about hour earlier, come back hour later or something.</t>
  </si>
  <si>
    <t>I go in about hour earlier, Ø come back hour later or something.</t>
  </si>
  <si>
    <t>https://ewave-atlas.org/sentences/3582</t>
  </si>
  <si>
    <t>SG-EW-3583</t>
  </si>
  <si>
    <t>Sometime difficult to say eh.</t>
  </si>
  <si>
    <t>Sometime Ø difficult to say eh.</t>
  </si>
  <si>
    <t>https://ewave-atlas.org/sentences/3583</t>
  </si>
  <si>
    <t>SG-EW-3584</t>
  </si>
  <si>
    <t>So I bought a lot of furnitures from IKEA.</t>
  </si>
  <si>
    <t>https://ewave-atlas.org/sentences/3584</t>
  </si>
  <si>
    <t>SG-EW-3585</t>
  </si>
  <si>
    <t>A lot of churches design webpage.</t>
  </si>
  <si>
    <t>https://ewave-atlas.org/sentences/3585</t>
  </si>
  <si>
    <t>SG-EW-3586</t>
  </si>
  <si>
    <t>That was first time I did promise them.</t>
  </si>
  <si>
    <t>That was Ø first time I did promise them.</t>
  </si>
  <si>
    <t>https://ewave-atlas.org/sentences/3586</t>
  </si>
  <si>
    <t>SG-EW-3587</t>
  </si>
  <si>
    <t>And got to know this kind-hearted scholar who shelter her with umbrella when it was raining.</t>
  </si>
  <si>
    <t>And got to know this kind-hearted scholar who shelter her with Ø umbrella when it was raining.</t>
  </si>
  <si>
    <t>https://ewave-atlas.org/sentences/3587</t>
  </si>
  <si>
    <t>SG-EW-3588</t>
  </si>
  <si>
    <t>They sold already ah?</t>
  </si>
  <si>
    <t>https://ewave-atlas.org/sentences/3588</t>
  </si>
  <si>
    <t>SG-EW-3589</t>
  </si>
  <si>
    <t>I ever met some customer like that.</t>
  </si>
  <si>
    <t>https://ewave-atlas.org/sentences/3589</t>
  </si>
  <si>
    <t>SG-EW-3590A</t>
  </si>
  <si>
    <t>I have eaten already.</t>
  </si>
  <si>
    <t>I have eaten/ eat/ got eat already.</t>
  </si>
  <si>
    <t>https://ewave-atlas.org/sentences/3590</t>
  </si>
  <si>
    <t>Split from alternatives</t>
  </si>
  <si>
    <t>SG-EW-3590B</t>
  </si>
  <si>
    <t>I eat already.</t>
  </si>
  <si>
    <t>SG-EW-3590C</t>
  </si>
  <si>
    <t>I got eat already.</t>
  </si>
  <si>
    <t>SG-EW-3591</t>
  </si>
  <si>
    <t>I buy chok give you.</t>
  </si>
  <si>
    <t>https://ewave-atlas.org/sentences/3591</t>
  </si>
  <si>
    <t>Needs lexical review</t>
  </si>
  <si>
    <t>SG-EW-3592</t>
  </si>
  <si>
    <t>Kong Kong send us go school.</t>
  </si>
  <si>
    <t>https://ewave-atlas.org/sentences/3592</t>
  </si>
  <si>
    <t>Needs lexical context</t>
  </si>
  <si>
    <t>SG-EW-3593</t>
  </si>
  <si>
    <t>Take the book bring come.</t>
  </si>
  <si>
    <t>https://ewave-atlas.org/sentences/3593</t>
  </si>
  <si>
    <t>SG-EW-3594</t>
  </si>
  <si>
    <t>John give his boss scold.</t>
  </si>
  <si>
    <t>https://ewave-atlas.org/sentences/3594</t>
  </si>
  <si>
    <t>SG-EW-3595</t>
  </si>
  <si>
    <t>John don't eat durian.</t>
  </si>
  <si>
    <t>https://ewave-atlas.org/sentences/3595</t>
  </si>
  <si>
    <t>SG-EW-3596</t>
  </si>
  <si>
    <t>John never eat durian.</t>
  </si>
  <si>
    <t>https://ewave-atlas.org/sentences/3596</t>
  </si>
  <si>
    <t>SG-EW-3597</t>
  </si>
  <si>
    <t>You need to buy books, is it?</t>
  </si>
  <si>
    <t>https://ewave-atlas.org/sentences/3597</t>
  </si>
  <si>
    <t>Strong candidate</t>
  </si>
  <si>
    <t>SG-EW-3598</t>
  </si>
  <si>
    <t>Answer the question, can or not?</t>
  </si>
  <si>
    <t>https://ewave-atlas.org/sentences/3598</t>
  </si>
  <si>
    <t>SG-EW-3599</t>
  </si>
  <si>
    <t>But after a while it become quite senseless to me.</t>
  </si>
  <si>
    <t>https://ewave-atlas.org/sentences/3599</t>
  </si>
  <si>
    <t>SG-EW-3600</t>
  </si>
  <si>
    <t>Got something wrong with her.</t>
  </si>
  <si>
    <t>https://ewave-atlas.org/sentences/3600</t>
  </si>
  <si>
    <t>SG-EW-3601</t>
  </si>
  <si>
    <t>Tree got oysters growing.</t>
  </si>
  <si>
    <t>https://ewave-atlas.org/sentences/3601</t>
  </si>
  <si>
    <t>SG-EW-3602</t>
  </si>
  <si>
    <t>They trying to kill the benefactor.</t>
  </si>
  <si>
    <t>They Ø trying to kill the benefactor.</t>
  </si>
  <si>
    <t>https://ewave-atlas.org/sentences/3602</t>
  </si>
  <si>
    <t>Unsuitable product context</t>
  </si>
  <si>
    <t>SG-EW-3603</t>
  </si>
  <si>
    <t>But this one not your car.</t>
  </si>
  <si>
    <t>But this one Ø not your car.</t>
  </si>
  <si>
    <t>https://ewave-atlas.org/sentences/3603</t>
  </si>
  <si>
    <t>SG-EW-3604</t>
  </si>
  <si>
    <t>I also scared.</t>
  </si>
  <si>
    <t>I Ø also scared.</t>
  </si>
  <si>
    <t>https://ewave-atlas.org/sentences/3604</t>
  </si>
  <si>
    <t>SG-EW-3605</t>
  </si>
  <si>
    <t>Khatib very near my place.</t>
  </si>
  <si>
    <t>Khatib Ø very near my place.</t>
  </si>
  <si>
    <t>https://ewave-atlas.org/sentences/3605</t>
  </si>
  <si>
    <t>Needs place-name context</t>
  </si>
  <si>
    <t>SG-EW-3606</t>
  </si>
  <si>
    <t>She beaten the eggs.</t>
  </si>
  <si>
    <t>She Ø beaten the eggs.</t>
  </si>
  <si>
    <t>https://ewave-atlas.org/sentences/3606</t>
  </si>
  <si>
    <t>SG-EW-3607</t>
  </si>
  <si>
    <t>The cake John buy one always very nice to eat.</t>
  </si>
  <si>
    <t>https://ewave-atlas.org/sentences/3607</t>
  </si>
  <si>
    <t>SG-EW-3608</t>
  </si>
  <si>
    <t>Here got very many people.</t>
  </si>
  <si>
    <t>https://ewave-atlas.org/sentences/3608</t>
  </si>
  <si>
    <t>SG-EW-3609</t>
  </si>
  <si>
    <t>Then I applied teaching.</t>
  </si>
  <si>
    <t>Then I applied Ø teaching.</t>
  </si>
  <si>
    <t>https://ewave-atlas.org/sentences/3609</t>
  </si>
  <si>
    <t>Needs intended-meaning confirmation</t>
  </si>
  <si>
    <t>SG-EW-3610</t>
  </si>
  <si>
    <t>Tell me this project is what.</t>
  </si>
  <si>
    <t>https://ewave-atlas.org/sentences/3610</t>
  </si>
  <si>
    <t>SG-EW-3611</t>
  </si>
  <si>
    <t>When they send me off?</t>
  </si>
  <si>
    <t>https://ewave-atlas.org/sentences/3611</t>
  </si>
  <si>
    <t>I have met some customer like that.</t>
  </si>
  <si>
    <t>High</t>
  </si>
  <si>
    <t xml:space="preserve">For a buisness audience - I have met some constomers like that </t>
  </si>
  <si>
    <t>Describe Singaporean English as incorrect or claim that every reader will misunderstand it.</t>
  </si>
  <si>
    <t xml:space="preserve">General </t>
  </si>
  <si>
    <t>John was scolded by his boss</t>
  </si>
  <si>
    <t>For a broad audience, consider: "John was scolded by his boss"</t>
  </si>
  <si>
    <t>Tell me, what is this project?</t>
  </si>
  <si>
    <t>Hold</t>
  </si>
  <si>
    <t>Customer Service</t>
  </si>
  <si>
    <t xml:space="preserve">International client </t>
  </si>
  <si>
    <t>Do you know the answer to the question?</t>
  </si>
  <si>
    <t>For a buisness audience, so do you guys know?</t>
  </si>
  <si>
    <t>For a broad audience, consider: do you know the answer to the question?</t>
  </si>
  <si>
    <t>IND-EW-894</t>
  </si>
  <si>
    <t>They keep it to themself.</t>
  </si>
  <si>
    <t>Indigenized L2 variety</t>
  </si>
  <si>
    <t>https://ewave-atlas.org/sentences/894</t>
  </si>
  <si>
    <t>IND-EW-895</t>
  </si>
  <si>
    <t>We cannot change ourself.</t>
  </si>
  <si>
    <t>https://ewave-atlas.org/sentences/895</t>
  </si>
  <si>
    <t>IND-EW-896</t>
  </si>
  <si>
    <t>Myself, I am K. Mishra.</t>
  </si>
  <si>
    <t>Myself, I am K.Mishra.</t>
  </si>
  <si>
    <t>https://ewave-atlas.org/sentences/896</t>
  </si>
  <si>
    <t>IND-EW-897A</t>
  </si>
  <si>
    <t>you-all</t>
  </si>
  <si>
    <t>you-all / yall</t>
  </si>
  <si>
    <t>https://ewave-atlas.org/sentences/897</t>
  </si>
  <si>
    <t>Needs full sentence</t>
  </si>
  <si>
    <t>IND-EW-897B</t>
  </si>
  <si>
    <t>yall</t>
  </si>
  <si>
    <t>IND-EW-898A</t>
  </si>
  <si>
    <t>them-all</t>
  </si>
  <si>
    <t>them-all / they-all / we-all</t>
  </si>
  <si>
    <t>https://ewave-atlas.org/sentences/898</t>
  </si>
  <si>
    <t>IND-EW-898B</t>
  </si>
  <si>
    <t>they-all</t>
  </si>
  <si>
    <t>IND-EW-898C</t>
  </si>
  <si>
    <t>we-all</t>
  </si>
  <si>
    <t>IND-EW-899A</t>
  </si>
  <si>
    <t>who-all</t>
  </si>
  <si>
    <t>who-all / where-all</t>
  </si>
  <si>
    <t>https://ewave-atlas.org/sentences/899</t>
  </si>
  <si>
    <t>IND-EW-899B</t>
  </si>
  <si>
    <t>where-all</t>
  </si>
  <si>
    <t>IND-EW-900</t>
  </si>
  <si>
    <t>who-who</t>
  </si>
  <si>
    <t>https://ewave-atlas.org/sentences/900</t>
  </si>
  <si>
    <t>IND-EW-901</t>
  </si>
  <si>
    <t>We have two tailors who can make for us.</t>
  </si>
  <si>
    <t>https://ewave-atlas.org/sentences/901</t>
  </si>
  <si>
    <t>Needs object context</t>
  </si>
  <si>
    <t>IND-EW-902</t>
  </si>
  <si>
    <t>When I come back from my work just travel back to my home.</t>
  </si>
  <si>
    <t>https://ewave-atlas.org/sentences/902</t>
  </si>
  <si>
    <t>Needs intended-meaning review</t>
  </si>
  <si>
    <t>IND-EW-903</t>
  </si>
  <si>
    <t>Maybe too much cold over here.</t>
  </si>
  <si>
    <t>https://ewave-atlas.org/sentences/903</t>
  </si>
  <si>
    <t>IND-EW-904</t>
  </si>
  <si>
    <t>My old life I want to spend it in India.</t>
  </si>
  <si>
    <t>https://ewave-atlas.org/sentences/904</t>
  </si>
  <si>
    <t>Strong candidate; confirm meaning</t>
  </si>
  <si>
    <t>IND-EW-905</t>
  </si>
  <si>
    <t>Is very hard.</t>
  </si>
  <si>
    <t>https://ewave-atlas.org/sentences/905</t>
  </si>
  <si>
    <t>IND-EW-906</t>
  </si>
  <si>
    <t>During monsoon we get lot of rain and then gets very soggy and sultry.</t>
  </si>
  <si>
    <t>https://ewave-atlas.org/sentences/906</t>
  </si>
  <si>
    <t>IND-EW-907</t>
  </si>
  <si>
    <t>Later on womans come under their childrens.</t>
  </si>
  <si>
    <t>Later on womans come under [control of] their childrens.</t>
  </si>
  <si>
    <t>https://ewave-atlas.org/sentences/907</t>
  </si>
  <si>
    <t>Avoid demo; editorial insertion and sensitive content</t>
  </si>
  <si>
    <t>IND-EW-908A</t>
  </si>
  <si>
    <t>hardwares</t>
  </si>
  <si>
    <t>hardwares / apparels / eatings</t>
  </si>
  <si>
    <t>https://ewave-atlas.org/sentences/908</t>
  </si>
  <si>
    <t>IND-EW-908B</t>
  </si>
  <si>
    <t>apparels</t>
  </si>
  <si>
    <t>IND-EW-908C</t>
  </si>
  <si>
    <t>eatings</t>
  </si>
  <si>
    <t>IND-EW-909</t>
  </si>
  <si>
    <t>When I was one and a half year old we moved to Haryana.</t>
  </si>
  <si>
    <t>https://ewave-atlas.org/sentences/909</t>
  </si>
  <si>
    <t>Low-risk candidate</t>
  </si>
  <si>
    <t>IND-EW-910</t>
  </si>
  <si>
    <t>There used to be many airline. One of the biggest beach in Asia.</t>
  </si>
  <si>
    <t>https://ewave-atlas.org/sentences/910</t>
  </si>
  <si>
    <t>Contains two examples</t>
  </si>
  <si>
    <t>IND-EW-911</t>
  </si>
  <si>
    <t>So that's why I started my this business.</t>
  </si>
  <si>
    <t>https://ewave-atlas.org/sentences/911</t>
  </si>
  <si>
    <t>Business-context candidate</t>
  </si>
  <si>
    <t>IND-EW-912</t>
  </si>
  <si>
    <t>Only it's a matter of me getting the driving license.</t>
  </si>
  <si>
    <t>https://ewave-atlas.org/sentences/912</t>
  </si>
  <si>
    <t>Strong pragmatic candidate</t>
  </si>
  <si>
    <t>IND-EW-913</t>
  </si>
  <si>
    <t>Here I'm not working in kitchen.</t>
  </si>
  <si>
    <t>https://ewave-atlas.org/sentences/913</t>
  </si>
  <si>
    <t>IND-EW-914</t>
  </si>
  <si>
    <t>We decided to rent apartment.</t>
  </si>
  <si>
    <t>https://ewave-atlas.org/sentences/914</t>
  </si>
  <si>
    <t>IND-EW-915</t>
  </si>
  <si>
    <t>They don't understand so sometimes they ask the questions.</t>
  </si>
  <si>
    <t>https://ewave-atlas.org/sentences/915</t>
  </si>
  <si>
    <t>IND-EW-916</t>
  </si>
  <si>
    <t>Previously we have arranged one gentleman who is running this.</t>
  </si>
  <si>
    <t>https://ewave-atlas.org/sentences/916</t>
  </si>
  <si>
    <t>Strong business candidate; confirm “arranged”</t>
  </si>
  <si>
    <t>IND-EW-917</t>
  </si>
  <si>
    <t>They have two childrens. That elder girl is like 19 years old.</t>
  </si>
  <si>
    <t>https://ewave-atlas.org/sentences/917</t>
  </si>
  <si>
    <t>Contains two sentences</t>
  </si>
  <si>
    <t>IND-EW-918</t>
  </si>
  <si>
    <t>This two months.</t>
  </si>
  <si>
    <t>This two months</t>
  </si>
  <si>
    <t>https://ewave-atlas.org/sentences/918</t>
  </si>
  <si>
    <t>IND-EW-919</t>
  </si>
  <si>
    <t>Son is there.</t>
  </si>
  <si>
    <t>https://ewave-atlas.org/sentences/919</t>
  </si>
  <si>
    <t>IND-EW-920</t>
  </si>
  <si>
    <t>more easier</t>
  </si>
  <si>
    <t>https://ewave-atlas.org/sentences/920</t>
  </si>
  <si>
    <t>IND-EW-921</t>
  </si>
  <si>
    <t>It's not worser actually.</t>
  </si>
  <si>
    <t>https://ewave-atlas.org/sentences/921</t>
  </si>
  <si>
    <t>Deficit-framing test</t>
  </si>
  <si>
    <t>IND-EW-922</t>
  </si>
  <si>
    <t>the most big responsibility</t>
  </si>
  <si>
    <t>https://ewave-atlas.org/sentences/922</t>
  </si>
  <si>
    <t>IND-EW-923</t>
  </si>
  <si>
    <t>We are knowing each other.</t>
  </si>
  <si>
    <t>https://ewave-atlas.org/sentences/923</t>
  </si>
  <si>
    <t>Low communication risk</t>
  </si>
  <si>
    <t>IND-EW-924</t>
  </si>
  <si>
    <t>Only dry-cleaning clothes are coming.</t>
  </si>
  <si>
    <t>Only dry-cleaning clothes are coming [for cleaning].</t>
  </si>
  <si>
    <t>https://ewave-atlas.org/sentences/924</t>
  </si>
  <si>
    <t>Confirm intended meaning</t>
  </si>
  <si>
    <t>IND-EW-925</t>
  </si>
  <si>
    <t>I have come here about six months back.</t>
  </si>
  <si>
    <t>https://ewave-atlas.org/sentences/925</t>
  </si>
  <si>
    <t>IND-EW-926</t>
  </si>
  <si>
    <t>I am here since 2 o'clock.</t>
  </si>
  <si>
    <t>https://ewave-atlas.org/sentences/926</t>
  </si>
  <si>
    <t>IND-EW-927</t>
  </si>
  <si>
    <t>This is the second time that such an object had been sighted here.</t>
  </si>
  <si>
    <t>https://ewave-atlas.org/sentences/927</t>
  </si>
  <si>
    <t>IND-EW-928</t>
  </si>
  <si>
    <t>And then would be definitely be building up a hospital.</t>
  </si>
  <si>
    <t>https://ewave-atlas.org/sentences/928</t>
  </si>
  <si>
    <t>Meaning/context uncertain</t>
  </si>
  <si>
    <t>IND-EW-929</t>
  </si>
  <si>
    <t>I would be visiting your place tomorrow.</t>
  </si>
  <si>
    <t>https://ewave-atlas.org/sentences/929</t>
  </si>
  <si>
    <t>IND-EW-930</t>
  </si>
  <si>
    <t>My great uncle, he come in 1953.</t>
  </si>
  <si>
    <t>https://ewave-atlas.org/sentences/930</t>
  </si>
  <si>
    <t>IND-EW-931</t>
  </si>
  <si>
    <t>They have took more pain for this.</t>
  </si>
  <si>
    <t>https://ewave-atlas.org/sentences/931</t>
  </si>
  <si>
    <t>Strong lexical candidate; confirm meaning</t>
  </si>
  <si>
    <t>IND-EW-932</t>
  </si>
  <si>
    <t>Before that I work with the French people.</t>
  </si>
  <si>
    <t>https://ewave-atlas.org/sentences/932</t>
  </si>
  <si>
    <t>IND-EW-933</t>
  </si>
  <si>
    <t>I have seen that the making sentencing is different than Indian.</t>
  </si>
  <si>
    <t>https://ewave-atlas.org/sentences/933</t>
  </si>
  <si>
    <t>Meaning uncertain</t>
  </si>
  <si>
    <t>IND-EW-934</t>
  </si>
  <si>
    <t>She don't like that paint.</t>
  </si>
  <si>
    <t>https://ewave-atlas.org/sentences/934</t>
  </si>
  <si>
    <t>IND-EW-935</t>
  </si>
  <si>
    <t>I no want any job or anything.</t>
  </si>
  <si>
    <t>I no want any job or anything</t>
  </si>
  <si>
    <t>https://ewave-atlas.org/sentences/935</t>
  </si>
  <si>
    <t>Needs speaker/context review</t>
  </si>
  <si>
    <t>IND-EW-936</t>
  </si>
  <si>
    <t>isn't it?</t>
  </si>
  <si>
    <t>https://ewave-atlas.org/sentences/936</t>
  </si>
  <si>
    <t>IND-EW-937</t>
  </si>
  <si>
    <t>My brother say why you are telling this to everybody?</t>
  </si>
  <si>
    <t>https://ewave-atlas.org/sentences/937</t>
  </si>
  <si>
    <t>IND-EW-938</t>
  </si>
  <si>
    <t>Now there's a lot of buildings.</t>
  </si>
  <si>
    <t>https://ewave-atlas.org/sentences/938</t>
  </si>
  <si>
    <t>Useful false-alarm control</t>
  </si>
  <si>
    <t>IND-EW-939</t>
  </si>
  <si>
    <t>Now they wearing American type of dresses.</t>
  </si>
  <si>
    <t>https://ewave-atlas.org/sentences/939</t>
  </si>
  <si>
    <t>IND-EW-940</t>
  </si>
  <si>
    <t>They gonna leave.</t>
  </si>
  <si>
    <t>https://ewave-atlas.org/sentences/940</t>
  </si>
  <si>
    <t>Useful non-exclusive-feature control</t>
  </si>
  <si>
    <t>IND-EW-941</t>
  </si>
  <si>
    <t>We not too much educated people.</t>
  </si>
  <si>
    <t>https://ewave-atlas.org/sentences/941</t>
  </si>
  <si>
    <t>High deficit-framing risk</t>
  </si>
  <si>
    <t>IND-EW-942</t>
  </si>
  <si>
    <t>Population in Los Angeles, not here.</t>
  </si>
  <si>
    <t>https://ewave-atlas.org/sentences/942</t>
  </si>
  <si>
    <t>IND-EW-943</t>
  </si>
  <si>
    <t>They got export business.</t>
  </si>
  <si>
    <t>https://ewave-atlas.org/sentences/943</t>
  </si>
  <si>
    <t>Business candidate; confirm meaning</t>
  </si>
  <si>
    <t>IND-EW-944</t>
  </si>
  <si>
    <t>There are so many people went to Africa.</t>
  </si>
  <si>
    <t>https://ewave-atlas.org/sentences/944</t>
  </si>
  <si>
    <t>IND-EW-945</t>
  </si>
  <si>
    <t>https://ewave-atlas.org/sentences/945</t>
  </si>
  <si>
    <t>Duplicate text of eWAVE 904</t>
  </si>
  <si>
    <t>IND-EW-946</t>
  </si>
  <si>
    <t>I still talk which I talked before I came here.</t>
  </si>
  <si>
    <t>https://ewave-atlas.org/sentences/946</t>
  </si>
  <si>
    <t>IND-EW-947</t>
  </si>
  <si>
    <t>We have a cellphone everywhere in the world.</t>
  </si>
  <si>
    <t>https://ewave-atlas.org/sentences/947</t>
  </si>
  <si>
    <t>IND-EW-948</t>
  </si>
  <si>
    <t>Actually this part I have not been.</t>
  </si>
  <si>
    <t>https://ewave-atlas.org/sentences/948</t>
  </si>
  <si>
    <t>IND-EW-949</t>
  </si>
  <si>
    <t>Americans they speak slow and clear.</t>
  </si>
  <si>
    <t>https://ewave-atlas.org/sentences/949</t>
  </si>
  <si>
    <t>Avoid demo; stereotype-related content</t>
  </si>
  <si>
    <t>IND-EW-950</t>
  </si>
  <si>
    <t>It was not too much common. Getting the accommodation has become very much difficult.</t>
  </si>
  <si>
    <t>https://ewave-atlas.org/sentences/950</t>
  </si>
  <si>
    <t>IND-EW-951</t>
  </si>
  <si>
    <t>Not so much adjustment I have to make.</t>
  </si>
  <si>
    <t>https://ewave-atlas.org/sentences/951</t>
  </si>
  <si>
    <t>IND-EW-952</t>
  </si>
  <si>
    <t>Do you know what does racial discrimination mean?</t>
  </si>
  <si>
    <t>https://ewave-atlas.org/sentences/952</t>
  </si>
  <si>
    <t>Meaning clear; sensitive subject</t>
  </si>
  <si>
    <t>IND-EW-953</t>
  </si>
  <si>
    <t>Where you will get anything?</t>
  </si>
  <si>
    <t>https://ewave-atlas.org/sentences/953</t>
  </si>
  <si>
    <t>IND-EW-954</t>
  </si>
  <si>
    <t>I can buy ticket on train itself?</t>
  </si>
  <si>
    <t>https://ewave-atlas.org/sentences/954</t>
  </si>
  <si>
    <t>IND-EW-955</t>
  </si>
  <si>
    <t>It becomes very clear that what kind of revenues would be there.</t>
  </si>
  <si>
    <t>https://ewave-atlas.org/sentences/955</t>
  </si>
  <si>
    <t>Strong business candidate</t>
  </si>
  <si>
    <t>IND-EW-956</t>
  </si>
  <si>
    <t>I have joined some, like, social institutes.</t>
  </si>
  <si>
    <t>https://ewave-atlas.org/sentences/956</t>
  </si>
  <si>
    <t>IND-EW-957</t>
  </si>
  <si>
    <t>I was like what the hell are you trying to do?</t>
  </si>
  <si>
    <t>https://ewave-atlas.org/sentences/957</t>
  </si>
  <si>
    <t>Workplace handover or project management</t>
  </si>
  <si>
    <t>Previously, we appointed or arranged for a particular person to manage this.</t>
  </si>
  <si>
    <t>“Arranged one gentleman” may be interpreted as organising a meeting with him rather than appointing or obtaining someone to perform the role.</t>
  </si>
  <si>
    <t>Clarify the relationship: “We previously appointed someone to manage this” or “We previously arranged for someone to manage this.”</t>
  </si>
  <si>
    <t>Assume the intended relationship without acknowledging the ambiguity, or describe the expression as simply bad English.</t>
  </si>
  <si>
    <t>eWAVE Indian English example 916; intended meaning requires contextual confirmation.</t>
  </si>
  <si>
    <t>Workplace introduction or relocation discussion</t>
  </si>
  <si>
    <t>I arrived here approximately six months ago and have probably remained here since then.</t>
  </si>
  <si>
    <t>The combination of present perfect and “six months back” may leave some readers uncertain whether the speaker is describing arrival, a previous visit or their current residence.</t>
  </si>
  <si>
    <t>Where the continuing situation matters, consider: “I came here about six months ago and have been here since.”</t>
  </si>
  <si>
    <t>Claim that “six months back” is incomprehensible or unnecessarily correct it when the meaning is already clear.</t>
  </si>
  <si>
    <t>eWAVE Indian English example 925; continuing residence is a provisional contextual inference.</t>
  </si>
  <si>
    <t>Workplace visit or appointment</t>
  </si>
  <si>
    <t>Colleague or client</t>
  </si>
  <si>
    <t>The speaker plans or expects to visit the recipient’s location tomorrow.</t>
  </si>
  <si>
    <t>Some readers may interpret “would be visiting” as conditional, tentative or dependent on an unstated condition rather than as a definite plan.</t>
  </si>
  <si>
    <t>If the visit is confirmed, consider: “I will be visiting your office tomorrow.” If it is tentative, state that explicitly.</t>
  </si>
  <si>
    <t>Invent an unstated condition or assume that the visit is definitely confirmed without context.</t>
  </si>
  <si>
    <t>eWAVE Indian English example 929; degree of certainty requires contextual confirmation.</t>
  </si>
  <si>
    <t>Project acknowledgement or performance discussion</t>
  </si>
  <si>
    <t>The people concerned put considerable effort into completing the task.</t>
  </si>
  <si>
    <t>A reader may interpret “pain” literally as physical or emotional suffering rather than effort, care or trouble taken.</t>
  </si>
  <si>
    <t>For a broad workplace audience, consider: “They put a great deal of effort into this” or “They took considerable care over this.”</t>
  </si>
  <si>
    <t>Focus only on the verb form and miss the possible lexical misunderstanding around “pain.”</t>
  </si>
  <si>
    <t>eWAVE Indian English example 931; interpretation of “pain” as effort requires reviewer confirmation.</t>
  </si>
  <si>
    <t>Travel-support question</t>
  </si>
  <si>
    <t>Service or support employee</t>
  </si>
  <si>
    <t>The speaker is asking whether the ticket can be bought on the train rather than before boarding.</t>
  </si>
  <si>
    <t>A reader may find “itself” unnecessary or may not recognise that it emphasises the location where the ticket can be purchased.</t>
  </si>
  <si>
    <t>For a broader audience, consider: “Can I buy a ticket on the train?” Retain the original where this use of “itself” is locally natural and understood.</t>
  </si>
  <si>
    <t>Treat “itself” as meaningless, describe the speaker negatively or exaggerate a low-risk difference.</t>
  </si>
  <si>
    <t>eWAVE Indian English example 954; focus interpretation is provisional but strongly supported by the sentence.</t>
  </si>
  <si>
    <t>Business forecast or investment discussion</t>
  </si>
  <si>
    <t>International decision-maker</t>
  </si>
  <si>
    <t>The available information makes the expected type or level of revenue clearer.</t>
  </si>
  <si>
    <t>The sentence may leave the reader uncertain whether it refers to revenue categories, projected amounts or the existence of revenue.</t>
  </si>
  <si>
    <t>Specify the intended business claim, for example: “This makes the expected revenue streams clear” or “This makes the projected revenue level clear.”</t>
  </si>
  <si>
    <t>Invent financial details, silently choose between revenue type and amount, or present an uncertain interpretation as fact.</t>
  </si>
  <si>
    <t>eWAVE Indian English example 955; the precise meaning of “what kind of revenues” requires contextual confirmation.</t>
  </si>
  <si>
    <t>eWave</t>
  </si>
  <si>
    <t>Please send the revised report by 5:00 p.m. Eastern Time on Friday, 28 August 2026.</t>
  </si>
  <si>
    <t>Workplace deadline</t>
  </si>
  <si>
    <t>Send the revised report by the explicitly stated date, time and time zone.</t>
  </si>
  <si>
    <t>Little meaningful misunderstanding is expected, although recipients must convert Eastern Time to their local time.</t>
  </si>
  <si>
    <t>No rewriting is necessary. A local-time equivalent could be added for recipient convenience.</t>
  </si>
  <si>
    <t>Invent a dialect problem, exaggerate the time-zone burden or recommend unnecessary standardisation.</t>
  </si>
  <si>
    <t>Team-authored low-risk control; not taken from a corpus.</t>
  </si>
  <si>
    <t>US-02</t>
  </si>
  <si>
    <t>Meet me on the first floor by the elevators.</t>
  </si>
  <si>
    <t>Office meeting</t>
  </si>
  <si>
    <t>Meet on the ground-level floor of the building, following common American floor numbering.</t>
  </si>
  <si>
    <t>A recipient using a system in which the first floor is one level above the ground floor may wait on the wrong floor.</t>
  </si>
  <si>
    <t>Use the building’s displayed level number or say: “Meet me on the ground floor by the elevators.”</t>
  </si>
  <si>
    <t>Assume that one numbering system is universally correct or attribute the misunderstanding to language proficiency.</t>
  </si>
  <si>
    <t>TEAM_CREATED_SCENARIO</t>
  </si>
  <si>
    <t>Team-authored scenario based on cross-regional floor-numbering differences; not a corpus quotation.</t>
  </si>
  <si>
    <t>US-03</t>
  </si>
  <si>
    <t>Let's table the proposal until next week's meeting.</t>
  </si>
  <si>
    <t>Project meeting</t>
  </si>
  <si>
    <t>International project team</t>
  </si>
  <si>
    <t>The speaker intends to postpone discussion of the proposal until next week.</t>
  </si>
  <si>
    <t>Some audiences may understand “table the proposal” as formally presenting it for immediate discussion rather than postponing it.</t>
  </si>
  <si>
    <t>Replace the ambiguous expression with: “Let’s postpone discussion of the proposal until next week’s meeting.”</t>
  </si>
  <si>
    <t>Claim that every American or every non-American interprets “table” identically, or describe either interpretation as incorrect.</t>
  </si>
  <si>
    <t>Team-authored scenario based on contrasting uses of “table”; requires reviewer confirmation for target audiences.</t>
  </si>
  <si>
    <t>US-04</t>
  </si>
  <si>
    <t>Starting in September, the team will meet biweekly.</t>
  </si>
  <si>
    <t>Team scheduling</t>
  </si>
  <si>
    <t>International employees</t>
  </si>
  <si>
    <t>The team will meet either every two weeks or twice each week; the original sentence does not establish which interpretation is intended.</t>
  </si>
  <si>
    <t>“Biweekly” is ambiguous even among American English speakers and could produce incompatible schedules.</t>
  </si>
  <si>
    <t>State the frequency explicitly: “every two weeks” or “twice a week.”</t>
  </si>
  <si>
    <t>The audit must not pretend to know the intended schedule or incorrectly present this as exclusively a dialect issue.</t>
  </si>
  <si>
    <t>Team-authored general American-English ambiguity; intended frequency deliberately unspecified.</t>
  </si>
  <si>
    <t>US-05</t>
  </si>
  <si>
    <t>The customer review is scheduled for 04/05/2026.</t>
  </si>
  <si>
    <t>Calendar invitation</t>
  </si>
  <si>
    <t>Under the conventional American month/day/year interpretation, the review is scheduled for April 5, 2026.</t>
  </si>
  <si>
    <t>A reader using day/month/year may interpret the date as 4 May 2026.</t>
  </si>
  <si>
    <t>Write the month in words or use an unambiguous standard: “5 April 2026” or “2026-04-05.”</t>
  </si>
  <si>
    <t>Guess the date without flagging the ambiguity, or claim that one regional date convention is inherently superior.</t>
  </si>
  <si>
    <t>Team-authored scenario based on regional numeric-date conventions; not a corpus quotation.</t>
  </si>
  <si>
    <t>SG-03</t>
  </si>
  <si>
    <t>US-06</t>
  </si>
  <si>
    <t>Your order has shipped and is expected to arrive on Tuesday.</t>
  </si>
  <si>
    <t>Customer-support notification</t>
  </si>
  <si>
    <t>International customer</t>
  </si>
  <si>
    <t>The order has left the seller and is expected to be delivered on Tuesday.</t>
  </si>
  <si>
    <t>Little or no meaningful misunderstanding is expected. “Expected” appropriately communicates that Tuesday is an estimate rather than a guarantee.</t>
  </si>
  <si>
    <t>Retain the original. Add a tracking link only if one is available.</t>
  </si>
  <si>
    <t>Invent a dialect-specific problem, treat the estimated date as guaranteed or recommend unnecessary rewriting.</t>
  </si>
  <si>
    <t xml:space="preserve">Generated by Maria and chatGPT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</si>
</sst>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8"/>
      <color rgb="FFFFFFFF"/>
      <name val="Carlito"/>
    </font>
    <font>
      <b/>
      <sz val="11"/>
      <color rgb="FF17212B"/>
      <name val="Carlito"/>
    </font>
    <font>
      <sz val="11"/>
      <color rgb="FF17212B"/>
      <name val="Carlito"/>
    </font>
    <font>
      <b/>
      <sz val="11"/>
      <color rgb="FFFFFFFF"/>
      <name val="Carlito"/>
    </font>
    <font>
      <sz val="10"/>
      <color rgb="FF17212B"/>
      <name val="Carlito"/>
    </font>
    <font>
      <i/>
      <sz val="11"/>
      <color rgb="FF526B7A"/>
      <name val="Carlito"/>
    </font>
    <font>
      <b/>
      <sz val="10"/>
      <color rgb="FF17212B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17212B"/>
      </patternFill>
    </fill>
    <fill>
      <patternFill patternType="solid">
        <fgColor rgb="FFEAF0F4"/>
      </patternFill>
    </fill>
    <fill>
      <patternFill patternType="solid">
        <fgColor rgb="FFFFFFFF"/>
      </patternFill>
    </fill>
    <fill>
      <patternFill patternType="solid">
        <fgColor rgb="FF526B7A"/>
      </patternFill>
    </fill>
    <fill>
      <patternFill patternType="solid">
        <fgColor rgb="FFFFF4D6"/>
      </patternFill>
    </fill>
    <fill>
      <patternFill patternType="solid">
        <fgColor rgb="FFF7F4EE"/>
      </patternFill>
    </fill>
    <fill>
      <patternFill patternType="solid">
        <fgColor rgb="FFE8F5EE"/>
      </patternFill>
    </fill>
    <fill>
      <patternFill patternType="solid">
        <fgColor rgb="FFFFFF00"/>
        <bgColor indexed="64"/>
      </patternFill>
    </fill>
    <fill>
      <patternFill patternType="solid">
        <fgColor rgb="FFFFF4D6"/>
        <bgColor rgb="FF000000"/>
      </patternFill>
    </fill>
  </fills>
  <borders count="7">
    <border>
      <left/>
      <right/>
      <top/>
      <bottom/>
      <diagonal/>
    </border>
    <border>
      <left style="thin">
        <color rgb="FFD8D2C8"/>
      </left>
      <right style="thin">
        <color rgb="FFD8D2C8"/>
      </right>
      <top style="thin">
        <color rgb="FFD8D2C8"/>
      </top>
      <bottom style="thin">
        <color rgb="FFD8D2C8"/>
      </bottom>
      <diagonal/>
    </border>
    <border>
      <left style="thin">
        <color rgb="FFD8D2C8"/>
      </left>
      <right/>
      <top style="thin">
        <color rgb="FFD8D2C8"/>
      </top>
      <bottom style="thin">
        <color rgb="FFD8D2C8"/>
      </bottom>
      <diagonal/>
    </border>
    <border>
      <left/>
      <right style="thin">
        <color rgb="FFD8D2C8"/>
      </right>
      <top style="thin">
        <color rgb="FFD8D2C8"/>
      </top>
      <bottom style="thin">
        <color rgb="FFD8D2C8"/>
      </bottom>
      <diagonal/>
    </border>
    <border>
      <left/>
      <right/>
      <top/>
      <bottom style="thin">
        <color rgb="FFD8D2C8"/>
      </bottom>
      <diagonal/>
    </border>
    <border>
      <left/>
      <right/>
      <top style="thin">
        <color rgb="FFD8D2C8"/>
      </top>
      <bottom style="thin">
        <color rgb="FFD8D2C8"/>
      </bottom>
      <diagonal/>
    </border>
    <border>
      <left/>
      <right/>
      <top style="thin">
        <color rgb="FFD8D2C8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4" fillId="5" borderId="2" xfId="0" applyFont="1" applyFill="1" applyBorder="1" applyAlignment="1">
      <alignment vertical="center" wrapText="1"/>
    </xf>
    <xf numFmtId="0" fontId="4" fillId="5" borderId="3" xfId="0" applyFont="1" applyFill="1" applyBorder="1" applyAlignment="1">
      <alignment vertical="center" wrapText="1"/>
    </xf>
    <xf numFmtId="0" fontId="5" fillId="0" borderId="4" xfId="0" applyFont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4" fillId="5" borderId="5" xfId="0" applyFont="1" applyFill="1" applyBorder="1" applyAlignment="1">
      <alignment vertical="center" wrapText="1"/>
    </xf>
    <xf numFmtId="0" fontId="5" fillId="6" borderId="4" xfId="0" applyFont="1" applyFill="1" applyBorder="1" applyAlignment="1">
      <alignment vertical="top" wrapText="1"/>
    </xf>
    <xf numFmtId="0" fontId="5" fillId="6" borderId="5" xfId="0" applyFont="1" applyFill="1" applyBorder="1" applyAlignment="1">
      <alignment vertical="top" wrapText="1"/>
    </xf>
    <xf numFmtId="0" fontId="5" fillId="6" borderId="6" xfId="0" applyFont="1" applyFill="1" applyBorder="1" applyAlignment="1">
      <alignment vertical="top" wrapText="1"/>
    </xf>
    <xf numFmtId="0" fontId="5" fillId="7" borderId="4" xfId="0" applyFont="1" applyFill="1" applyBorder="1" applyAlignment="1">
      <alignment vertical="top" wrapText="1"/>
    </xf>
    <xf numFmtId="0" fontId="5" fillId="7" borderId="5" xfId="0" applyFont="1" applyFill="1" applyBorder="1" applyAlignment="1">
      <alignment vertical="top" wrapText="1"/>
    </xf>
    <xf numFmtId="0" fontId="5" fillId="7" borderId="6" xfId="0" applyFont="1" applyFill="1" applyBorder="1" applyAlignment="1">
      <alignment vertical="top" wrapText="1"/>
    </xf>
    <xf numFmtId="1" fontId="7" fillId="8" borderId="4" xfId="0" applyNumberFormat="1" applyFont="1" applyFill="1" applyBorder="1" applyAlignment="1">
      <alignment horizontal="center" vertical="top" wrapText="1"/>
    </xf>
    <xf numFmtId="1" fontId="7" fillId="8" borderId="5" xfId="0" applyNumberFormat="1" applyFont="1" applyFill="1" applyBorder="1" applyAlignment="1">
      <alignment horizontal="center" vertical="top" wrapText="1"/>
    </xf>
    <xf numFmtId="1" fontId="7" fillId="8" borderId="6" xfId="0" applyNumberFormat="1" applyFont="1" applyFill="1" applyBorder="1" applyAlignment="1">
      <alignment horizontal="center" vertical="top" wrapText="1"/>
    </xf>
    <xf numFmtId="0" fontId="1" fillId="2" borderId="0" xfId="0" applyFont="1" applyFill="1" applyAlignment="1">
      <alignment vertical="center"/>
    </xf>
    <xf numFmtId="0" fontId="6" fillId="3" borderId="0" xfId="0" applyFont="1" applyFill="1" applyAlignment="1">
      <alignment wrapText="1"/>
    </xf>
    <xf numFmtId="0" fontId="0" fillId="9" borderId="0" xfId="0" applyFill="1"/>
    <xf numFmtId="0" fontId="5" fillId="10" borderId="5" xfId="0" applyFont="1" applyFill="1" applyBorder="1" applyAlignment="1">
      <alignment vertical="top" wrapText="1"/>
    </xf>
    <xf numFmtId="0" fontId="5" fillId="9" borderId="5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seInputTable" displayName="CaseInputTable" ref="A2:O32" totalsRowShown="0">
  <tableColumns count="15">
    <tableColumn id="1" xr3:uid="{00000000-0010-0000-0000-000001000000}" name="Case ID"/>
    <tableColumn id="2" xr3:uid="{00000000-0010-0000-0000-000002000000}" name="Status"/>
    <tableColumn id="3" xr3:uid="{00000000-0010-0000-0000-000003000000}" name="Source variety"/>
    <tableColumn id="4" xr3:uid="{00000000-0010-0000-0000-000004000000}" name="Original text"/>
    <tableColumn id="5" xr3:uid="{00000000-0010-0000-0000-000005000000}" name="Context"/>
    <tableColumn id="6" xr3:uid="{00000000-0010-0000-0000-000006000000}" name="Intended audience"/>
    <tableColumn id="7" xr3:uid="{00000000-0010-0000-0000-000007000000}" name="Intended meaning"/>
    <tableColumn id="8" xr3:uid="{00000000-0010-0000-0000-000008000000}" name="Possible misunderstanding"/>
    <tableColumn id="9" xr3:uid="{00000000-0010-0000-0000-000009000000}" name="Expected severity"/>
    <tableColumn id="10" xr3:uid="{00000000-0010-0000-0000-00000A000000}" name="Expected recommendation"/>
    <tableColumn id="11" xr3:uid="{00000000-0010-0000-0000-00000B000000}" name="What the audit must not do"/>
    <tableColumn id="12" xr3:uid="{00000000-0010-0000-0000-00000C000000}" name="Source type"/>
    <tableColumn id="13" xr3:uid="{00000000-0010-0000-0000-00000D000000}" name="Source / provenance"/>
    <tableColumn id="14" xr3:uid="{00000000-0010-0000-0000-00000E000000}" name="Source URL"/>
    <tableColumn id="15" xr3:uid="{00000000-0010-0000-0000-00000F000000}" name="Review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stRunsTable" displayName="TestRunsTable" ref="A3:V33" totalsRowShown="0">
  <tableColumns count="22">
    <tableColumn id="1" xr3:uid="{00000000-0010-0000-0100-000001000000}" name="Case ID"/>
    <tableColumn id="2" xr3:uid="{00000000-0010-0000-0100-000002000000}" name="Source variety"/>
    <tableColumn id="3" xr3:uid="{00000000-0010-0000-0100-000003000000}" name="Original text"/>
    <tableColumn id="4" xr3:uid="{00000000-0010-0000-0100-000004000000}" name="Run date"/>
    <tableColumn id="5" xr3:uid="{00000000-0010-0000-0100-000005000000}" name="App version / commit"/>
    <tableColumn id="6" xr3:uid="{00000000-0010-0000-0100-000006000000}" name="Run completed?"/>
    <tableColumn id="7" xr3:uid="{00000000-0010-0000-0100-000007000000}" name="Latency (sec)"/>
    <tableColumn id="8" xr3:uid="{00000000-0010-0000-0100-000008000000}" name="Actual result / summary"/>
    <tableColumn id="9" xr3:uid="{00000000-0010-0000-0100-000009000000}" name="Meaning"/>
    <tableColumn id="10" xr3:uid="{00000000-0010-0000-0100-00000A000000}" name="Variety awareness"/>
    <tableColumn id="11" xr3:uid="{00000000-0010-0000-0100-00000B000000}" name="Risk identification"/>
    <tableColumn id="12" xr3:uid="{00000000-0010-0000-0100-00000C000000}" name="Non-stereotyping"/>
    <tableColumn id="13" xr3:uid="{00000000-0010-0000-0100-00000D000000}" name="Recommendation"/>
    <tableColumn id="14" xr3:uid="{00000000-0010-0000-0100-00000E000000}" name="Confidence"/>
    <tableColumn id="15" xr3:uid="{00000000-0010-0000-0100-00000F000000}" name="Total / 12"/>
    <tableColumn id="16" xr3:uid="{00000000-0010-0000-0100-000010000000}" name="Failure labels"/>
    <tableColumn id="17" xr3:uid="{00000000-0010-0000-0100-000011000000}" name="Priority"/>
    <tableColumn id="18" xr3:uid="{00000000-0010-0000-0100-000012000000}" name="Print / PDF"/>
    <tableColumn id="19" xr3:uid="{00000000-0010-0000-0100-000013000000}" name="Screenshot / result link"/>
    <tableColumn id="20" xr3:uid="{00000000-0010-0000-0100-000014000000}" name="Problems / notes"/>
    <tableColumn id="21" xr3:uid="{00000000-0010-0000-0100-000015000000}" name="Owner"/>
    <tableColumn id="22" xr3:uid="{00000000-0010-0000-0100-000016000000}" name="Retest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showGridLines="0" workbookViewId="0">
      <selection activeCell="B14" sqref="B14"/>
    </sheetView>
  </sheetViews>
  <sheetFormatPr baseColWidth="10" defaultColWidth="8.83203125" defaultRowHeight="14"/>
  <cols>
    <col min="1" max="1" width="22" customWidth="1"/>
    <col min="2" max="2" width="92" customWidth="1"/>
  </cols>
  <sheetData>
    <row r="1" spans="1:8" ht="34" customHeight="1">
      <c r="A1" s="18" t="s">
        <v>0</v>
      </c>
      <c r="B1" s="18"/>
      <c r="C1" s="18"/>
      <c r="D1" s="18"/>
      <c r="E1" s="18"/>
      <c r="F1" s="18"/>
      <c r="G1" s="18"/>
      <c r="H1" s="18"/>
    </row>
    <row r="3" spans="1:8" ht="15" customHeight="1">
      <c r="A3" s="1" t="s">
        <v>1</v>
      </c>
      <c r="B3" s="2" t="s">
        <v>2</v>
      </c>
    </row>
    <row r="4" spans="1:8" ht="15" customHeight="1">
      <c r="A4" s="1" t="s">
        <v>3</v>
      </c>
      <c r="B4" s="2" t="s">
        <v>4</v>
      </c>
    </row>
    <row r="5" spans="1:8" ht="15" customHeight="1">
      <c r="A5" s="1" t="s">
        <v>5</v>
      </c>
      <c r="B5" s="2" t="s">
        <v>6</v>
      </c>
    </row>
    <row r="6" spans="1:8" ht="15" customHeight="1">
      <c r="A6" s="1" t="s">
        <v>7</v>
      </c>
      <c r="B6" s="2" t="s">
        <v>8</v>
      </c>
    </row>
    <row r="7" spans="1:8" ht="15" customHeight="1">
      <c r="A7" s="1" t="s">
        <v>9</v>
      </c>
      <c r="B7" s="2" t="s">
        <v>10</v>
      </c>
    </row>
    <row r="8" spans="1:8" ht="15" customHeight="1">
      <c r="A8" s="1" t="s">
        <v>11</v>
      </c>
      <c r="B8" s="2" t="s">
        <v>12</v>
      </c>
    </row>
    <row r="10" spans="1:8" ht="15" customHeight="1">
      <c r="A10" s="3" t="s">
        <v>13</v>
      </c>
      <c r="B10" s="4" t="s">
        <v>14</v>
      </c>
    </row>
    <row r="11" spans="1:8" ht="15" customHeight="1">
      <c r="A11" s="5" t="s">
        <v>15</v>
      </c>
      <c r="B11" s="5" t="s">
        <v>16</v>
      </c>
    </row>
    <row r="12" spans="1:8" ht="15" customHeight="1">
      <c r="A12" s="6" t="s">
        <v>17</v>
      </c>
      <c r="B12" s="6" t="s">
        <v>18</v>
      </c>
    </row>
    <row r="13" spans="1:8" ht="15" customHeight="1">
      <c r="A13" s="6" t="s">
        <v>19</v>
      </c>
      <c r="B13" s="6" t="s">
        <v>20</v>
      </c>
    </row>
    <row r="14" spans="1:8" ht="15" customHeight="1">
      <c r="A14" s="7" t="s">
        <v>21</v>
      </c>
      <c r="B14" s="7" t="s">
        <v>22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2"/>
  <sheetViews>
    <sheetView showGridLines="0" tabSelected="1" topLeftCell="B1" workbookViewId="0">
      <selection activeCell="H16" sqref="H16"/>
    </sheetView>
  </sheetViews>
  <sheetFormatPr baseColWidth="10" defaultColWidth="8.83203125" defaultRowHeight="14"/>
  <cols>
    <col min="1" max="1" width="12" customWidth="1"/>
    <col min="2" max="2" width="16" customWidth="1"/>
    <col min="3" max="3" width="19" customWidth="1"/>
    <col min="4" max="4" width="34" customWidth="1"/>
    <col min="5" max="5" width="23" customWidth="1"/>
    <col min="6" max="6" width="24" customWidth="1"/>
    <col min="7" max="7" width="38" customWidth="1"/>
    <col min="8" max="8" width="42" customWidth="1"/>
    <col min="9" max="9" width="16" customWidth="1"/>
    <col min="10" max="11" width="44" customWidth="1"/>
    <col min="12" max="12" width="24" customWidth="1"/>
    <col min="13" max="13" width="38" customWidth="1"/>
    <col min="14" max="14" width="34" customWidth="1"/>
    <col min="15" max="15" width="18" customWidth="1"/>
  </cols>
  <sheetData>
    <row r="1" spans="1:15" ht="34" customHeight="1">
      <c r="A1" s="18" t="s">
        <v>23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ht="15" customHeight="1">
      <c r="A2" s="3" t="s">
        <v>24</v>
      </c>
      <c r="B2" s="8" t="s">
        <v>25</v>
      </c>
      <c r="C2" s="8" t="s">
        <v>26</v>
      </c>
      <c r="D2" s="8" t="s">
        <v>27</v>
      </c>
      <c r="E2" s="8" t="s">
        <v>28</v>
      </c>
      <c r="F2" s="8" t="s">
        <v>29</v>
      </c>
      <c r="G2" s="8" t="s">
        <v>30</v>
      </c>
      <c r="H2" s="8" t="s">
        <v>31</v>
      </c>
      <c r="I2" s="8" t="s">
        <v>32</v>
      </c>
      <c r="J2" s="8" t="s">
        <v>33</v>
      </c>
      <c r="K2" s="8" t="s">
        <v>34</v>
      </c>
      <c r="L2" s="8" t="s">
        <v>35</v>
      </c>
      <c r="M2" s="8" t="s">
        <v>36</v>
      </c>
      <c r="N2" s="8" t="s">
        <v>37</v>
      </c>
      <c r="O2" s="4" t="s">
        <v>38</v>
      </c>
    </row>
    <row r="3" spans="1:15" ht="24" customHeight="1">
      <c r="A3" s="12" t="s">
        <v>39</v>
      </c>
      <c r="B3" s="12" t="s">
        <v>40</v>
      </c>
      <c r="C3" s="12" t="s">
        <v>41</v>
      </c>
      <c r="D3" s="9" t="s">
        <v>42</v>
      </c>
      <c r="E3" s="9" t="s">
        <v>43</v>
      </c>
      <c r="F3" s="9" t="s">
        <v>44</v>
      </c>
      <c r="G3" s="9" t="s">
        <v>45</v>
      </c>
      <c r="H3" s="9" t="s">
        <v>46</v>
      </c>
      <c r="I3" s="9" t="s">
        <v>47</v>
      </c>
      <c r="J3" s="9" t="s">
        <v>48</v>
      </c>
      <c r="K3" s="9" t="s">
        <v>49</v>
      </c>
      <c r="L3" s="12" t="s">
        <v>50</v>
      </c>
      <c r="M3" s="12" t="s">
        <v>51</v>
      </c>
      <c r="N3" s="12"/>
      <c r="O3" s="12"/>
    </row>
    <row r="4" spans="1:15" ht="24" customHeight="1">
      <c r="A4" s="13" t="s">
        <v>52</v>
      </c>
      <c r="B4" s="13" t="s">
        <v>40</v>
      </c>
      <c r="C4" s="13" t="s">
        <v>41</v>
      </c>
      <c r="D4" s="10" t="s">
        <v>53</v>
      </c>
      <c r="E4" s="10" t="s">
        <v>54</v>
      </c>
      <c r="F4" s="10" t="s">
        <v>44</v>
      </c>
      <c r="G4" s="10" t="s">
        <v>55</v>
      </c>
      <c r="H4" s="10" t="s">
        <v>56</v>
      </c>
      <c r="I4" s="10" t="s">
        <v>47</v>
      </c>
      <c r="J4" s="10" t="s">
        <v>57</v>
      </c>
      <c r="K4" s="10" t="s">
        <v>58</v>
      </c>
      <c r="L4" s="13" t="s">
        <v>50</v>
      </c>
      <c r="M4" s="13" t="s">
        <v>59</v>
      </c>
      <c r="N4" s="13"/>
      <c r="O4" s="13"/>
    </row>
    <row r="5" spans="1:15" ht="24" customHeight="1">
      <c r="A5" s="13" t="s">
        <v>60</v>
      </c>
      <c r="B5" s="13" t="s">
        <v>40</v>
      </c>
      <c r="C5" s="13" t="s">
        <v>61</v>
      </c>
      <c r="D5" s="10" t="s">
        <v>62</v>
      </c>
      <c r="E5" s="10" t="s">
        <v>63</v>
      </c>
      <c r="F5" s="10" t="s">
        <v>44</v>
      </c>
      <c r="G5" s="10" t="s">
        <v>64</v>
      </c>
      <c r="H5" s="10" t="s">
        <v>65</v>
      </c>
      <c r="I5" s="10" t="s">
        <v>66</v>
      </c>
      <c r="J5" s="10" t="s">
        <v>67</v>
      </c>
      <c r="K5" s="10" t="s">
        <v>68</v>
      </c>
      <c r="L5" s="13" t="s">
        <v>50</v>
      </c>
      <c r="M5" s="13" t="s">
        <v>51</v>
      </c>
      <c r="N5" s="13"/>
      <c r="O5" s="13"/>
    </row>
    <row r="6" spans="1:15" ht="15" customHeight="1">
      <c r="A6" s="13" t="s">
        <v>69</v>
      </c>
      <c r="B6" s="13" t="s">
        <v>70</v>
      </c>
      <c r="C6" s="13"/>
      <c r="D6" s="10"/>
      <c r="E6" s="10"/>
      <c r="F6" s="10"/>
      <c r="G6" s="10"/>
      <c r="H6" s="10"/>
      <c r="I6" s="10"/>
      <c r="J6" s="10"/>
      <c r="K6" s="10"/>
      <c r="L6" s="13"/>
      <c r="M6" s="13"/>
      <c r="N6" s="13"/>
      <c r="O6" s="13"/>
    </row>
    <row r="7" spans="1:15" ht="24" customHeight="1">
      <c r="A7" s="13" t="s">
        <v>71</v>
      </c>
      <c r="B7" s="13" t="s">
        <v>40</v>
      </c>
      <c r="C7" s="13" t="s">
        <v>72</v>
      </c>
      <c r="D7" s="10" t="s">
        <v>73</v>
      </c>
      <c r="E7" s="10" t="s">
        <v>63</v>
      </c>
      <c r="F7" s="10" t="s">
        <v>44</v>
      </c>
      <c r="G7" s="10" t="s">
        <v>74</v>
      </c>
      <c r="H7" s="10" t="s">
        <v>75</v>
      </c>
      <c r="I7" s="10" t="s">
        <v>66</v>
      </c>
      <c r="J7" s="10" t="s">
        <v>76</v>
      </c>
      <c r="K7" s="10" t="s">
        <v>77</v>
      </c>
      <c r="L7" s="13" t="s">
        <v>78</v>
      </c>
      <c r="M7" s="13" t="s">
        <v>79</v>
      </c>
      <c r="N7" s="13"/>
      <c r="O7" s="13"/>
    </row>
    <row r="8" spans="1:15" ht="15" customHeight="1">
      <c r="A8" s="13" t="s">
        <v>663</v>
      </c>
      <c r="B8" s="13" t="s">
        <v>336</v>
      </c>
      <c r="C8" s="13" t="s">
        <v>61</v>
      </c>
      <c r="D8" s="10" t="s">
        <v>242</v>
      </c>
      <c r="E8" s="10" t="s">
        <v>43</v>
      </c>
      <c r="F8" s="10" t="s">
        <v>44</v>
      </c>
      <c r="G8" s="10" t="s">
        <v>328</v>
      </c>
      <c r="H8" s="10"/>
      <c r="I8" s="10" t="s">
        <v>329</v>
      </c>
      <c r="J8" s="10" t="s">
        <v>330</v>
      </c>
      <c r="K8" s="9" t="s">
        <v>331</v>
      </c>
      <c r="L8" s="13" t="s">
        <v>208</v>
      </c>
      <c r="M8" s="13" t="s">
        <v>620</v>
      </c>
      <c r="N8" s="13"/>
      <c r="O8" s="13"/>
    </row>
    <row r="9" spans="1:15" ht="15" customHeight="1">
      <c r="A9" s="13" t="s">
        <v>80</v>
      </c>
      <c r="B9" s="13" t="s">
        <v>40</v>
      </c>
      <c r="C9" s="13" t="s">
        <v>61</v>
      </c>
      <c r="D9" s="10" t="s">
        <v>265</v>
      </c>
      <c r="E9" s="10" t="s">
        <v>332</v>
      </c>
      <c r="F9" s="10" t="s">
        <v>44</v>
      </c>
      <c r="G9" s="10" t="s">
        <v>333</v>
      </c>
      <c r="H9" s="10"/>
      <c r="I9" s="10" t="s">
        <v>329</v>
      </c>
      <c r="J9" s="10" t="s">
        <v>334</v>
      </c>
      <c r="K9" s="10" t="s">
        <v>331</v>
      </c>
      <c r="L9" s="13" t="s">
        <v>208</v>
      </c>
      <c r="M9" s="13" t="s">
        <v>620</v>
      </c>
      <c r="N9" s="13"/>
      <c r="O9" s="13"/>
    </row>
    <row r="10" spans="1:15" ht="15" customHeight="1">
      <c r="A10" s="13" t="s">
        <v>81</v>
      </c>
      <c r="B10" s="13" t="s">
        <v>40</v>
      </c>
      <c r="C10" s="13" t="s">
        <v>61</v>
      </c>
      <c r="D10" s="10" t="s">
        <v>323</v>
      </c>
      <c r="E10" s="10" t="s">
        <v>43</v>
      </c>
      <c r="F10" s="10" t="s">
        <v>44</v>
      </c>
      <c r="G10" s="10" t="s">
        <v>335</v>
      </c>
      <c r="H10" s="10"/>
      <c r="I10" s="10" t="s">
        <v>47</v>
      </c>
      <c r="J10" s="10"/>
      <c r="K10" s="10"/>
      <c r="L10" s="13" t="s">
        <v>208</v>
      </c>
      <c r="M10" s="13" t="s">
        <v>620</v>
      </c>
      <c r="N10" s="13"/>
      <c r="O10" s="13"/>
    </row>
    <row r="11" spans="1:15" ht="15" customHeight="1">
      <c r="A11" s="13" t="s">
        <v>82</v>
      </c>
      <c r="B11" s="13" t="s">
        <v>70</v>
      </c>
      <c r="C11" s="13" t="s">
        <v>61</v>
      </c>
      <c r="D11" s="10" t="s">
        <v>205</v>
      </c>
      <c r="E11" s="10" t="s">
        <v>332</v>
      </c>
      <c r="F11" s="10" t="s">
        <v>44</v>
      </c>
      <c r="G11" s="10"/>
      <c r="H11" s="10"/>
      <c r="I11" s="10" t="s">
        <v>66</v>
      </c>
      <c r="J11" s="10" t="s">
        <v>340</v>
      </c>
      <c r="K11" s="10" t="s">
        <v>68</v>
      </c>
      <c r="L11" s="13" t="s">
        <v>208</v>
      </c>
      <c r="M11" s="13" t="s">
        <v>620</v>
      </c>
      <c r="N11" s="13"/>
      <c r="O11" s="13"/>
    </row>
    <row r="12" spans="1:15" ht="15" customHeight="1">
      <c r="A12" s="13" t="s">
        <v>83</v>
      </c>
      <c r="B12" s="13" t="s">
        <v>70</v>
      </c>
      <c r="C12" s="13" t="s">
        <v>61</v>
      </c>
      <c r="D12" s="10" t="s">
        <v>278</v>
      </c>
      <c r="E12" s="10" t="s">
        <v>337</v>
      </c>
      <c r="F12" s="10" t="s">
        <v>338</v>
      </c>
      <c r="G12" s="21" t="s">
        <v>339</v>
      </c>
      <c r="H12" s="10"/>
      <c r="I12" s="10" t="s">
        <v>47</v>
      </c>
      <c r="J12" s="10" t="s">
        <v>341</v>
      </c>
      <c r="K12" s="10" t="s">
        <v>331</v>
      </c>
      <c r="L12" s="13" t="s">
        <v>208</v>
      </c>
      <c r="M12" s="13" t="s">
        <v>620</v>
      </c>
      <c r="N12" s="13"/>
      <c r="O12" s="13"/>
    </row>
    <row r="13" spans="1:15" ht="15" customHeight="1">
      <c r="A13" s="13" t="s">
        <v>84</v>
      </c>
      <c r="B13" s="13" t="s">
        <v>70</v>
      </c>
      <c r="C13" s="13" t="s">
        <v>41</v>
      </c>
      <c r="D13" s="10" t="s">
        <v>437</v>
      </c>
      <c r="E13" s="10" t="s">
        <v>581</v>
      </c>
      <c r="F13" s="10" t="s">
        <v>44</v>
      </c>
      <c r="G13" s="22" t="s">
        <v>582</v>
      </c>
      <c r="H13" s="10" t="s">
        <v>583</v>
      </c>
      <c r="I13" s="10" t="s">
        <v>47</v>
      </c>
      <c r="J13" s="10"/>
      <c r="K13" s="10"/>
      <c r="L13" s="13" t="s">
        <v>208</v>
      </c>
      <c r="M13" s="13" t="s">
        <v>620</v>
      </c>
      <c r="N13" s="13"/>
      <c r="O13" s="13"/>
    </row>
    <row r="14" spans="1:15" ht="15" customHeight="1">
      <c r="A14" s="13" t="s">
        <v>85</v>
      </c>
      <c r="B14" s="13" t="s">
        <v>70</v>
      </c>
      <c r="C14" s="13" t="s">
        <v>41</v>
      </c>
      <c r="D14" s="10" t="s">
        <v>471</v>
      </c>
      <c r="E14" s="10" t="s">
        <v>587</v>
      </c>
      <c r="F14" s="10" t="s">
        <v>44</v>
      </c>
      <c r="G14" s="22" t="s">
        <v>588</v>
      </c>
      <c r="H14" s="10" t="s">
        <v>589</v>
      </c>
      <c r="I14" s="10" t="s">
        <v>66</v>
      </c>
      <c r="J14" s="10"/>
      <c r="K14" s="10"/>
      <c r="L14" s="13"/>
      <c r="M14" s="13" t="s">
        <v>620</v>
      </c>
      <c r="N14" s="13"/>
      <c r="O14" s="13"/>
    </row>
    <row r="15" spans="1:15" ht="15" customHeight="1">
      <c r="A15" s="13" t="s">
        <v>86</v>
      </c>
      <c r="B15" s="13" t="s">
        <v>70</v>
      </c>
      <c r="C15" s="13" t="s">
        <v>41</v>
      </c>
      <c r="D15" s="10" t="s">
        <v>484</v>
      </c>
      <c r="E15" s="10" t="s">
        <v>593</v>
      </c>
      <c r="F15" s="10" t="s">
        <v>594</v>
      </c>
      <c r="G15" s="22" t="s">
        <v>595</v>
      </c>
      <c r="H15" s="10" t="s">
        <v>596</v>
      </c>
      <c r="I15" s="10" t="s">
        <v>47</v>
      </c>
      <c r="J15" s="10"/>
      <c r="K15" s="10"/>
      <c r="L15" s="13"/>
      <c r="M15" s="13" t="s">
        <v>620</v>
      </c>
      <c r="N15" s="13"/>
      <c r="O15" s="13"/>
    </row>
    <row r="16" spans="1:15" ht="15" customHeight="1">
      <c r="A16" s="13" t="s">
        <v>87</v>
      </c>
      <c r="B16" s="13" t="s">
        <v>40</v>
      </c>
      <c r="C16" s="13" t="s">
        <v>41</v>
      </c>
      <c r="D16" s="10" t="s">
        <v>490</v>
      </c>
      <c r="E16" s="10" t="s">
        <v>600</v>
      </c>
      <c r="F16" s="10" t="s">
        <v>44</v>
      </c>
      <c r="G16" s="22" t="s">
        <v>601</v>
      </c>
      <c r="H16" s="10" t="s">
        <v>602</v>
      </c>
      <c r="I16" s="10" t="s">
        <v>47</v>
      </c>
      <c r="J16" s="10"/>
      <c r="K16" s="10"/>
      <c r="L16" s="13"/>
      <c r="M16" s="13" t="s">
        <v>620</v>
      </c>
      <c r="N16" s="13"/>
      <c r="O16" s="13"/>
    </row>
    <row r="17" spans="1:15" ht="15" customHeight="1">
      <c r="A17" s="13" t="s">
        <v>88</v>
      </c>
      <c r="B17" s="13" t="s">
        <v>70</v>
      </c>
      <c r="C17" s="13" t="s">
        <v>41</v>
      </c>
      <c r="D17" s="10" t="s">
        <v>569</v>
      </c>
      <c r="E17" s="10" t="s">
        <v>606</v>
      </c>
      <c r="F17" s="10" t="s">
        <v>607</v>
      </c>
      <c r="G17" s="22" t="s">
        <v>608</v>
      </c>
      <c r="H17" s="10" t="s">
        <v>609</v>
      </c>
      <c r="I17" s="10" t="s">
        <v>66</v>
      </c>
      <c r="J17" s="10"/>
      <c r="K17" s="10"/>
      <c r="L17" s="13"/>
      <c r="M17" s="13" t="s">
        <v>620</v>
      </c>
      <c r="N17" s="13"/>
      <c r="O17" s="13"/>
    </row>
    <row r="18" spans="1:15" ht="15" customHeight="1">
      <c r="A18" s="13" t="s">
        <v>89</v>
      </c>
      <c r="B18" s="13" t="s">
        <v>70</v>
      </c>
      <c r="C18" s="13" t="s">
        <v>41</v>
      </c>
      <c r="D18" s="10" t="s">
        <v>572</v>
      </c>
      <c r="E18" s="10" t="s">
        <v>613</v>
      </c>
      <c r="F18" s="10" t="s">
        <v>614</v>
      </c>
      <c r="G18" s="22" t="s">
        <v>615</v>
      </c>
      <c r="H18" s="10" t="s">
        <v>616</v>
      </c>
      <c r="I18" s="10" t="s">
        <v>329</v>
      </c>
      <c r="J18" s="10"/>
      <c r="K18" s="10"/>
      <c r="L18" s="13"/>
      <c r="M18" s="13" t="s">
        <v>620</v>
      </c>
      <c r="N18" s="13"/>
      <c r="O18" s="13"/>
    </row>
    <row r="19" spans="1:15" ht="15" customHeight="1">
      <c r="A19" s="13" t="s">
        <v>90</v>
      </c>
      <c r="B19" s="13" t="s">
        <v>70</v>
      </c>
      <c r="C19" s="13" t="s">
        <v>72</v>
      </c>
      <c r="D19" s="10" t="s">
        <v>629</v>
      </c>
      <c r="E19" s="10" t="s">
        <v>630</v>
      </c>
      <c r="F19" s="10" t="s">
        <v>44</v>
      </c>
      <c r="G19" s="22" t="s">
        <v>631</v>
      </c>
      <c r="H19" s="10"/>
      <c r="I19" s="10"/>
      <c r="J19" s="10"/>
      <c r="K19" s="10"/>
      <c r="L19" s="13"/>
      <c r="M19" s="13" t="s">
        <v>620</v>
      </c>
      <c r="N19" s="13"/>
      <c r="O19" s="13"/>
    </row>
    <row r="20" spans="1:15" ht="15" customHeight="1">
      <c r="A20" s="13" t="s">
        <v>91</v>
      </c>
      <c r="B20" s="13" t="s">
        <v>70</v>
      </c>
      <c r="C20" s="13" t="s">
        <v>72</v>
      </c>
      <c r="D20" s="10" t="s">
        <v>638</v>
      </c>
      <c r="E20" s="10" t="s">
        <v>639</v>
      </c>
      <c r="F20" s="10" t="s">
        <v>640</v>
      </c>
      <c r="G20" s="10" t="s">
        <v>641</v>
      </c>
      <c r="H20" s="10"/>
      <c r="I20" s="10" t="s">
        <v>47</v>
      </c>
      <c r="J20" s="10"/>
      <c r="K20" s="10"/>
      <c r="L20" s="13"/>
      <c r="M20" s="13" t="s">
        <v>672</v>
      </c>
      <c r="N20" s="13"/>
      <c r="O20" s="13"/>
    </row>
    <row r="21" spans="1:15" ht="15" customHeight="1">
      <c r="A21" s="13" t="s">
        <v>92</v>
      </c>
      <c r="B21" s="13" t="s">
        <v>70</v>
      </c>
      <c r="C21" s="13" t="s">
        <v>72</v>
      </c>
      <c r="D21" s="10" t="s">
        <v>647</v>
      </c>
      <c r="E21" s="10" t="s">
        <v>648</v>
      </c>
      <c r="F21" s="10" t="s">
        <v>649</v>
      </c>
      <c r="G21" s="10" t="s">
        <v>650</v>
      </c>
      <c r="H21" s="10"/>
      <c r="I21" s="10"/>
      <c r="J21" s="10"/>
      <c r="K21" s="10"/>
      <c r="L21" s="13"/>
      <c r="M21" s="13" t="s">
        <v>672</v>
      </c>
      <c r="N21" s="13"/>
      <c r="O21" s="13"/>
    </row>
    <row r="22" spans="1:15" ht="15" customHeight="1">
      <c r="A22" s="13" t="s">
        <v>93</v>
      </c>
      <c r="B22" s="13" t="s">
        <v>70</v>
      </c>
      <c r="C22" s="13" t="s">
        <v>72</v>
      </c>
      <c r="D22" s="10" t="s">
        <v>656</v>
      </c>
      <c r="E22" s="10" t="s">
        <v>657</v>
      </c>
      <c r="F22" s="10" t="s">
        <v>44</v>
      </c>
      <c r="G22" s="10" t="s">
        <v>658</v>
      </c>
      <c r="H22" s="10"/>
      <c r="I22" s="10"/>
      <c r="J22" s="10"/>
      <c r="K22" s="10"/>
      <c r="L22" s="13"/>
      <c r="M22" s="13" t="s">
        <v>672</v>
      </c>
      <c r="N22" s="13"/>
      <c r="O22" s="13"/>
    </row>
    <row r="23" spans="1:15" ht="15" customHeight="1">
      <c r="A23" s="13" t="s">
        <v>94</v>
      </c>
      <c r="B23" s="13" t="s">
        <v>70</v>
      </c>
      <c r="C23" s="13" t="s">
        <v>72</v>
      </c>
      <c r="D23" s="10" t="s">
        <v>665</v>
      </c>
      <c r="E23" s="10" t="s">
        <v>666</v>
      </c>
      <c r="F23" s="10" t="s">
        <v>667</v>
      </c>
      <c r="G23" s="10" t="s">
        <v>668</v>
      </c>
      <c r="H23" s="10" t="s">
        <v>669</v>
      </c>
      <c r="I23" s="10" t="s">
        <v>66</v>
      </c>
      <c r="J23" s="10"/>
      <c r="K23" s="10"/>
      <c r="L23" s="13"/>
      <c r="M23" s="13" t="s">
        <v>672</v>
      </c>
      <c r="N23" s="13"/>
      <c r="O23" s="13"/>
    </row>
    <row r="24" spans="1:15" ht="15" customHeight="1">
      <c r="A24" s="13" t="s">
        <v>95</v>
      </c>
      <c r="B24" s="13" t="s">
        <v>70</v>
      </c>
      <c r="C24" s="13"/>
      <c r="D24" s="10"/>
      <c r="E24" s="10"/>
      <c r="F24" s="10"/>
      <c r="G24" s="10"/>
      <c r="H24" s="10"/>
      <c r="I24" s="10"/>
      <c r="J24" s="10"/>
      <c r="K24" s="10"/>
      <c r="L24" s="13"/>
      <c r="M24" s="13"/>
      <c r="N24" s="13"/>
      <c r="O24" s="13"/>
    </row>
    <row r="25" spans="1:15" ht="15" customHeight="1">
      <c r="A25" s="13" t="s">
        <v>96</v>
      </c>
      <c r="B25" s="13" t="s">
        <v>70</v>
      </c>
      <c r="C25" s="13"/>
      <c r="D25" s="10"/>
      <c r="E25" s="10"/>
      <c r="F25" s="10"/>
      <c r="G25" s="10"/>
      <c r="H25" s="10"/>
      <c r="I25" s="10"/>
      <c r="J25" s="10"/>
      <c r="K25" s="10"/>
      <c r="L25" s="13"/>
      <c r="M25" s="13"/>
      <c r="N25" s="13"/>
      <c r="O25" s="13"/>
    </row>
    <row r="26" spans="1:15" ht="15" customHeight="1">
      <c r="A26" s="13" t="s">
        <v>97</v>
      </c>
      <c r="B26" s="13" t="s">
        <v>70</v>
      </c>
      <c r="C26" s="13"/>
      <c r="D26" s="10"/>
      <c r="E26" s="10"/>
      <c r="F26" s="10"/>
      <c r="G26" s="10"/>
      <c r="H26" s="10"/>
      <c r="I26" s="10"/>
      <c r="J26" s="10"/>
      <c r="K26" s="10"/>
      <c r="L26" s="13"/>
      <c r="M26" s="13"/>
      <c r="N26" s="13"/>
      <c r="O26" s="13"/>
    </row>
    <row r="27" spans="1:15" ht="15" customHeight="1">
      <c r="A27" s="13" t="s">
        <v>98</v>
      </c>
      <c r="B27" s="13" t="s">
        <v>70</v>
      </c>
      <c r="C27" s="13"/>
      <c r="D27" s="10"/>
      <c r="E27" s="10"/>
      <c r="F27" s="10"/>
      <c r="G27" s="10"/>
      <c r="H27" s="10"/>
      <c r="I27" s="10"/>
      <c r="J27" s="10"/>
      <c r="K27" s="10"/>
      <c r="L27" s="13"/>
      <c r="M27" s="13"/>
      <c r="N27" s="13"/>
      <c r="O27" s="13"/>
    </row>
    <row r="28" spans="1:15" ht="15" customHeight="1">
      <c r="A28" s="13" t="s">
        <v>99</v>
      </c>
      <c r="B28" s="13" t="s">
        <v>70</v>
      </c>
      <c r="C28" s="13"/>
      <c r="D28" s="10"/>
      <c r="E28" s="10"/>
      <c r="F28" s="10"/>
      <c r="G28" s="10"/>
      <c r="H28" s="10"/>
      <c r="I28" s="10"/>
      <c r="J28" s="10"/>
      <c r="K28" s="10"/>
      <c r="L28" s="13"/>
      <c r="M28" s="13"/>
      <c r="N28" s="13"/>
      <c r="O28" s="13"/>
    </row>
    <row r="29" spans="1:15" ht="15" customHeight="1">
      <c r="A29" s="13" t="s">
        <v>100</v>
      </c>
      <c r="B29" s="13" t="s">
        <v>70</v>
      </c>
      <c r="C29" s="13"/>
      <c r="D29" s="10"/>
      <c r="E29" s="10"/>
      <c r="F29" s="10"/>
      <c r="G29" s="10"/>
      <c r="H29" s="10"/>
      <c r="I29" s="10"/>
      <c r="J29" s="10"/>
      <c r="K29" s="10"/>
      <c r="L29" s="13"/>
      <c r="M29" s="13"/>
      <c r="N29" s="13"/>
      <c r="O29" s="13"/>
    </row>
    <row r="30" spans="1:15" ht="15" customHeight="1">
      <c r="A30" s="13" t="s">
        <v>101</v>
      </c>
      <c r="B30" s="13" t="s">
        <v>70</v>
      </c>
      <c r="C30" s="13"/>
      <c r="D30" s="10"/>
      <c r="E30" s="10"/>
      <c r="F30" s="10"/>
      <c r="G30" s="10"/>
      <c r="H30" s="10"/>
      <c r="I30" s="10"/>
      <c r="J30" s="10"/>
      <c r="K30" s="10"/>
      <c r="L30" s="13"/>
      <c r="M30" s="13"/>
      <c r="N30" s="13"/>
      <c r="O30" s="13"/>
    </row>
    <row r="31" spans="1:15" ht="15" customHeight="1">
      <c r="A31" s="13" t="s">
        <v>102</v>
      </c>
      <c r="B31" s="13" t="s">
        <v>70</v>
      </c>
      <c r="C31" s="13"/>
      <c r="D31" s="10"/>
      <c r="E31" s="10"/>
      <c r="F31" s="10"/>
      <c r="G31" s="10"/>
      <c r="H31" s="10"/>
      <c r="I31" s="10"/>
      <c r="J31" s="10"/>
      <c r="K31" s="10"/>
      <c r="L31" s="13"/>
      <c r="M31" s="13"/>
      <c r="N31" s="13"/>
      <c r="O31" s="13"/>
    </row>
    <row r="32" spans="1:15" ht="15" customHeight="1">
      <c r="A32" s="14" t="s">
        <v>103</v>
      </c>
      <c r="B32" s="14" t="s">
        <v>70</v>
      </c>
      <c r="C32" s="14"/>
      <c r="D32" s="11"/>
      <c r="E32" s="11"/>
      <c r="F32" s="11"/>
      <c r="G32" s="11"/>
      <c r="H32" s="11"/>
      <c r="I32" s="11"/>
      <c r="J32" s="11"/>
      <c r="K32" s="11"/>
      <c r="L32" s="14"/>
      <c r="M32" s="14"/>
      <c r="N32" s="14"/>
      <c r="O32" s="14"/>
    </row>
  </sheetData>
  <mergeCells count="1">
    <mergeCell ref="A1:O1"/>
  </mergeCells>
  <dataValidations count="4">
    <dataValidation type="list" sqref="B3:B32" xr:uid="{00000000-0002-0000-0100-000000000000}">
      <formula1>"Draft,Needs review,Ready to test,Reviewed,Hold"</formula1>
    </dataValidation>
    <dataValidation type="list" sqref="C3:C32" xr:uid="{00000000-0002-0000-0100-000001000000}">
      <formula1>"American English,Indian English,Singapore English,Other,Unassigned"</formula1>
    </dataValidation>
    <dataValidation type="list" sqref="I3:I32" xr:uid="{00000000-0002-0000-0100-000002000000}">
      <formula1>"Low,Medium,High,Unclear"</formula1>
    </dataValidation>
    <dataValidation type="list" sqref="L3:L32" xr:uid="{00000000-0002-0000-0100-000003000000}">
      <formula1>"INTERNAL_DEMO,DOCUMENTED_FEATURE,SYNTHETIC_MULTIVALUE,TEAM_CREATED_CONTROL,HUMAN_VALIDATED"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489AC-BD03-E74D-A7B4-D6B4BB959A44}">
  <dimension ref="A1:O24"/>
  <sheetViews>
    <sheetView workbookViewId="0">
      <selection activeCell="D13" sqref="D13:H13"/>
    </sheetView>
  </sheetViews>
  <sheetFormatPr baseColWidth="10" defaultRowHeight="14"/>
  <cols>
    <col min="4" max="4" width="36.83203125" customWidth="1"/>
    <col min="7" max="7" width="44.33203125" customWidth="1"/>
    <col min="8" max="8" width="46.6640625" customWidth="1"/>
  </cols>
  <sheetData>
    <row r="1" spans="1:1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</row>
    <row r="2" spans="1:15">
      <c r="A2" t="s">
        <v>436</v>
      </c>
      <c r="B2" t="s">
        <v>40</v>
      </c>
      <c r="C2" t="s">
        <v>41</v>
      </c>
      <c r="D2" t="s">
        <v>437</v>
      </c>
      <c r="E2" t="s">
        <v>581</v>
      </c>
      <c r="F2" t="s">
        <v>44</v>
      </c>
      <c r="G2" t="s">
        <v>582</v>
      </c>
      <c r="H2" t="s">
        <v>583</v>
      </c>
      <c r="I2" t="s">
        <v>47</v>
      </c>
      <c r="J2" t="s">
        <v>584</v>
      </c>
      <c r="K2" t="s">
        <v>585</v>
      </c>
      <c r="L2" t="s">
        <v>208</v>
      </c>
      <c r="M2" t="s">
        <v>586</v>
      </c>
      <c r="N2" t="s">
        <v>438</v>
      </c>
    </row>
    <row r="3" spans="1:15">
      <c r="A3" t="s">
        <v>470</v>
      </c>
      <c r="B3" t="s">
        <v>40</v>
      </c>
      <c r="C3" t="s">
        <v>41</v>
      </c>
      <c r="D3" t="s">
        <v>471</v>
      </c>
      <c r="E3" t="s">
        <v>587</v>
      </c>
      <c r="F3" t="s">
        <v>44</v>
      </c>
      <c r="G3" t="s">
        <v>588</v>
      </c>
      <c r="H3" t="s">
        <v>589</v>
      </c>
      <c r="I3" t="s">
        <v>66</v>
      </c>
      <c r="J3" t="s">
        <v>590</v>
      </c>
      <c r="K3" t="s">
        <v>591</v>
      </c>
      <c r="L3" t="s">
        <v>208</v>
      </c>
      <c r="M3" t="s">
        <v>592</v>
      </c>
      <c r="N3" t="s">
        <v>472</v>
      </c>
    </row>
    <row r="4" spans="1:15">
      <c r="A4" t="s">
        <v>483</v>
      </c>
      <c r="B4" t="s">
        <v>40</v>
      </c>
      <c r="C4" t="s">
        <v>41</v>
      </c>
      <c r="D4" t="s">
        <v>484</v>
      </c>
      <c r="E4" t="s">
        <v>593</v>
      </c>
      <c r="F4" t="s">
        <v>594</v>
      </c>
      <c r="G4" t="s">
        <v>595</v>
      </c>
      <c r="H4" t="s">
        <v>596</v>
      </c>
      <c r="I4" t="s">
        <v>47</v>
      </c>
      <c r="J4" t="s">
        <v>597</v>
      </c>
      <c r="K4" t="s">
        <v>598</v>
      </c>
      <c r="L4" t="s">
        <v>208</v>
      </c>
      <c r="M4" t="s">
        <v>599</v>
      </c>
      <c r="N4" t="s">
        <v>485</v>
      </c>
    </row>
    <row r="5" spans="1:15">
      <c r="A5" t="s">
        <v>489</v>
      </c>
      <c r="B5" t="s">
        <v>40</v>
      </c>
      <c r="C5" t="s">
        <v>41</v>
      </c>
      <c r="D5" t="s">
        <v>490</v>
      </c>
      <c r="E5" t="s">
        <v>600</v>
      </c>
      <c r="F5" t="s">
        <v>44</v>
      </c>
      <c r="G5" t="s">
        <v>601</v>
      </c>
      <c r="H5" t="s">
        <v>602</v>
      </c>
      <c r="I5" t="s">
        <v>47</v>
      </c>
      <c r="J5" t="s">
        <v>603</v>
      </c>
      <c r="K5" t="s">
        <v>604</v>
      </c>
      <c r="L5" t="s">
        <v>208</v>
      </c>
      <c r="M5" t="s">
        <v>605</v>
      </c>
      <c r="N5" t="s">
        <v>491</v>
      </c>
    </row>
    <row r="6" spans="1:15">
      <c r="A6" t="s">
        <v>568</v>
      </c>
      <c r="B6" t="s">
        <v>40</v>
      </c>
      <c r="C6" t="s">
        <v>41</v>
      </c>
      <c r="D6" t="s">
        <v>569</v>
      </c>
      <c r="E6" t="s">
        <v>606</v>
      </c>
      <c r="F6" t="s">
        <v>607</v>
      </c>
      <c r="G6" t="s">
        <v>608</v>
      </c>
      <c r="H6" t="s">
        <v>609</v>
      </c>
      <c r="I6" t="s">
        <v>66</v>
      </c>
      <c r="J6" t="s">
        <v>610</v>
      </c>
      <c r="K6" t="s">
        <v>611</v>
      </c>
      <c r="L6" t="s">
        <v>208</v>
      </c>
      <c r="M6" t="s">
        <v>612</v>
      </c>
      <c r="N6" t="s">
        <v>570</v>
      </c>
    </row>
    <row r="7" spans="1:15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  <c r="K7" t="s">
        <v>34</v>
      </c>
      <c r="L7" t="s">
        <v>35</v>
      </c>
      <c r="M7" t="s">
        <v>36</v>
      </c>
      <c r="N7" t="s">
        <v>37</v>
      </c>
      <c r="O7" t="s">
        <v>38</v>
      </c>
    </row>
    <row r="8" spans="1:15">
      <c r="A8" t="s">
        <v>71</v>
      </c>
      <c r="B8" t="s">
        <v>40</v>
      </c>
      <c r="C8" t="s">
        <v>72</v>
      </c>
      <c r="D8" t="s">
        <v>621</v>
      </c>
      <c r="E8" t="s">
        <v>622</v>
      </c>
      <c r="F8" t="s">
        <v>44</v>
      </c>
      <c r="G8" t="s">
        <v>623</v>
      </c>
      <c r="H8" t="s">
        <v>624</v>
      </c>
      <c r="I8" t="s">
        <v>66</v>
      </c>
      <c r="J8" t="s">
        <v>625</v>
      </c>
      <c r="K8" t="s">
        <v>626</v>
      </c>
      <c r="L8" t="s">
        <v>78</v>
      </c>
      <c r="M8" t="s">
        <v>627</v>
      </c>
    </row>
    <row r="9" spans="1:15">
      <c r="A9" t="s">
        <v>628</v>
      </c>
      <c r="B9" t="s">
        <v>40</v>
      </c>
      <c r="C9" t="s">
        <v>72</v>
      </c>
      <c r="D9" t="s">
        <v>629</v>
      </c>
      <c r="E9" t="s">
        <v>630</v>
      </c>
      <c r="F9" t="s">
        <v>44</v>
      </c>
      <c r="G9" t="s">
        <v>631</v>
      </c>
      <c r="H9" t="s">
        <v>632</v>
      </c>
      <c r="I9" t="s">
        <v>329</v>
      </c>
      <c r="J9" t="s">
        <v>633</v>
      </c>
      <c r="K9" t="s">
        <v>634</v>
      </c>
      <c r="L9" t="s">
        <v>635</v>
      </c>
      <c r="M9" t="s">
        <v>636</v>
      </c>
    </row>
    <row r="10" spans="1:15">
      <c r="A10" t="s">
        <v>637</v>
      </c>
      <c r="B10" t="s">
        <v>40</v>
      </c>
      <c r="C10" t="s">
        <v>72</v>
      </c>
      <c r="D10" t="s">
        <v>638</v>
      </c>
      <c r="E10" t="s">
        <v>639</v>
      </c>
      <c r="F10" t="s">
        <v>640</v>
      </c>
      <c r="G10" t="s">
        <v>641</v>
      </c>
      <c r="H10" t="s">
        <v>642</v>
      </c>
      <c r="I10" t="s">
        <v>329</v>
      </c>
      <c r="J10" t="s">
        <v>643</v>
      </c>
      <c r="K10" t="s">
        <v>644</v>
      </c>
      <c r="L10" t="s">
        <v>635</v>
      </c>
      <c r="M10" t="s">
        <v>645</v>
      </c>
    </row>
    <row r="11" spans="1:15">
      <c r="A11" t="s">
        <v>646</v>
      </c>
      <c r="B11" t="s">
        <v>40</v>
      </c>
      <c r="C11" t="s">
        <v>72</v>
      </c>
      <c r="D11" t="s">
        <v>647</v>
      </c>
      <c r="E11" t="s">
        <v>648</v>
      </c>
      <c r="F11" t="s">
        <v>649</v>
      </c>
      <c r="G11" t="s">
        <v>650</v>
      </c>
      <c r="H11" t="s">
        <v>651</v>
      </c>
      <c r="I11" t="s">
        <v>329</v>
      </c>
      <c r="J11" t="s">
        <v>652</v>
      </c>
      <c r="K11" t="s">
        <v>653</v>
      </c>
      <c r="L11" t="s">
        <v>635</v>
      </c>
      <c r="M11" t="s">
        <v>654</v>
      </c>
    </row>
    <row r="12" spans="1:15">
      <c r="A12" t="s">
        <v>655</v>
      </c>
      <c r="B12" t="s">
        <v>40</v>
      </c>
      <c r="C12" t="s">
        <v>72</v>
      </c>
      <c r="D12" t="s">
        <v>656</v>
      </c>
      <c r="E12" t="s">
        <v>657</v>
      </c>
      <c r="F12" t="s">
        <v>44</v>
      </c>
      <c r="G12" t="s">
        <v>658</v>
      </c>
      <c r="H12" t="s">
        <v>659</v>
      </c>
      <c r="I12" t="s">
        <v>329</v>
      </c>
      <c r="J12" t="s">
        <v>660</v>
      </c>
      <c r="K12" t="s">
        <v>661</v>
      </c>
      <c r="L12" t="s">
        <v>635</v>
      </c>
      <c r="M12" t="s">
        <v>662</v>
      </c>
    </row>
    <row r="13" spans="1:15">
      <c r="A13" t="s">
        <v>664</v>
      </c>
      <c r="B13" t="s">
        <v>40</v>
      </c>
      <c r="C13" t="s">
        <v>72</v>
      </c>
      <c r="D13" t="s">
        <v>665</v>
      </c>
      <c r="E13" t="s">
        <v>666</v>
      </c>
      <c r="F13" t="s">
        <v>667</v>
      </c>
      <c r="G13" t="s">
        <v>668</v>
      </c>
      <c r="H13" t="s">
        <v>669</v>
      </c>
      <c r="I13" t="s">
        <v>66</v>
      </c>
      <c r="J13" t="s">
        <v>670</v>
      </c>
      <c r="K13" t="s">
        <v>671</v>
      </c>
      <c r="L13" t="s">
        <v>78</v>
      </c>
      <c r="M13" t="s">
        <v>627</v>
      </c>
    </row>
    <row r="18" spans="1:15">
      <c r="A18" t="s">
        <v>24</v>
      </c>
      <c r="B18" t="s">
        <v>25</v>
      </c>
      <c r="C18" t="s">
        <v>26</v>
      </c>
      <c r="D18" t="s">
        <v>27</v>
      </c>
      <c r="E18" t="s">
        <v>28</v>
      </c>
      <c r="F18" t="s">
        <v>29</v>
      </c>
      <c r="G18" t="s">
        <v>30</v>
      </c>
      <c r="H18" t="s">
        <v>31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</row>
    <row r="19" spans="1:15">
      <c r="A19" t="s">
        <v>436</v>
      </c>
      <c r="B19" t="s">
        <v>40</v>
      </c>
      <c r="C19" t="s">
        <v>41</v>
      </c>
      <c r="D19" t="s">
        <v>437</v>
      </c>
      <c r="E19" t="s">
        <v>581</v>
      </c>
      <c r="F19" t="s">
        <v>44</v>
      </c>
      <c r="G19" t="s">
        <v>582</v>
      </c>
      <c r="H19" t="s">
        <v>583</v>
      </c>
      <c r="I19" t="s">
        <v>47</v>
      </c>
      <c r="J19" t="s">
        <v>584</v>
      </c>
      <c r="K19" t="s">
        <v>585</v>
      </c>
      <c r="L19" t="s">
        <v>208</v>
      </c>
      <c r="M19" t="s">
        <v>586</v>
      </c>
      <c r="N19" t="s">
        <v>438</v>
      </c>
    </row>
    <row r="20" spans="1:15">
      <c r="A20" t="s">
        <v>470</v>
      </c>
      <c r="B20" t="s">
        <v>40</v>
      </c>
      <c r="C20" t="s">
        <v>41</v>
      </c>
      <c r="D20" t="s">
        <v>471</v>
      </c>
      <c r="E20" t="s">
        <v>587</v>
      </c>
      <c r="F20" t="s">
        <v>44</v>
      </c>
      <c r="G20" t="s">
        <v>588</v>
      </c>
      <c r="H20" t="s">
        <v>589</v>
      </c>
      <c r="I20" t="s">
        <v>66</v>
      </c>
      <c r="J20" t="s">
        <v>590</v>
      </c>
      <c r="K20" t="s">
        <v>591</v>
      </c>
      <c r="L20" t="s">
        <v>208</v>
      </c>
      <c r="M20" t="s">
        <v>592</v>
      </c>
      <c r="N20" t="s">
        <v>472</v>
      </c>
    </row>
    <row r="21" spans="1:15">
      <c r="A21" t="s">
        <v>483</v>
      </c>
      <c r="B21" t="s">
        <v>40</v>
      </c>
      <c r="C21" t="s">
        <v>41</v>
      </c>
      <c r="D21" t="s">
        <v>484</v>
      </c>
      <c r="E21" t="s">
        <v>593</v>
      </c>
      <c r="F21" t="s">
        <v>594</v>
      </c>
      <c r="G21" t="s">
        <v>595</v>
      </c>
      <c r="H21" t="s">
        <v>596</v>
      </c>
      <c r="I21" t="s">
        <v>47</v>
      </c>
      <c r="J21" t="s">
        <v>597</v>
      </c>
      <c r="K21" t="s">
        <v>598</v>
      </c>
      <c r="L21" t="s">
        <v>208</v>
      </c>
      <c r="M21" t="s">
        <v>599</v>
      </c>
      <c r="N21" t="s">
        <v>485</v>
      </c>
    </row>
    <row r="22" spans="1:15">
      <c r="A22" t="s">
        <v>489</v>
      </c>
      <c r="B22" t="s">
        <v>40</v>
      </c>
      <c r="C22" t="s">
        <v>41</v>
      </c>
      <c r="D22" t="s">
        <v>490</v>
      </c>
      <c r="E22" t="s">
        <v>600</v>
      </c>
      <c r="F22" t="s">
        <v>44</v>
      </c>
      <c r="G22" t="s">
        <v>601</v>
      </c>
      <c r="H22" t="s">
        <v>602</v>
      </c>
      <c r="I22" t="s">
        <v>47</v>
      </c>
      <c r="J22" t="s">
        <v>603</v>
      </c>
      <c r="K22" t="s">
        <v>604</v>
      </c>
      <c r="L22" t="s">
        <v>208</v>
      </c>
      <c r="M22" t="s">
        <v>605</v>
      </c>
      <c r="N22" t="s">
        <v>491</v>
      </c>
    </row>
    <row r="23" spans="1:15">
      <c r="A23" t="s">
        <v>568</v>
      </c>
      <c r="B23" t="s">
        <v>40</v>
      </c>
      <c r="C23" t="s">
        <v>41</v>
      </c>
      <c r="D23" t="s">
        <v>569</v>
      </c>
      <c r="E23" t="s">
        <v>606</v>
      </c>
      <c r="F23" t="s">
        <v>607</v>
      </c>
      <c r="G23" t="s">
        <v>608</v>
      </c>
      <c r="H23" t="s">
        <v>609</v>
      </c>
      <c r="I23" t="s">
        <v>66</v>
      </c>
      <c r="J23" t="s">
        <v>610</v>
      </c>
      <c r="K23" t="s">
        <v>611</v>
      </c>
      <c r="L23" t="s">
        <v>208</v>
      </c>
      <c r="M23" t="s">
        <v>612</v>
      </c>
      <c r="N23" t="s">
        <v>570</v>
      </c>
    </row>
    <row r="24" spans="1:15">
      <c r="A24" t="s">
        <v>571</v>
      </c>
      <c r="B24" t="s">
        <v>40</v>
      </c>
      <c r="C24" t="s">
        <v>41</v>
      </c>
      <c r="D24" t="s">
        <v>572</v>
      </c>
      <c r="E24" t="s">
        <v>613</v>
      </c>
      <c r="F24" t="s">
        <v>614</v>
      </c>
      <c r="G24" t="s">
        <v>615</v>
      </c>
      <c r="H24" t="s">
        <v>616</v>
      </c>
      <c r="I24" t="s">
        <v>329</v>
      </c>
      <c r="J24" t="s">
        <v>617</v>
      </c>
      <c r="K24" t="s">
        <v>618</v>
      </c>
      <c r="L24" t="s">
        <v>208</v>
      </c>
      <c r="M24" t="s">
        <v>619</v>
      </c>
      <c r="N24" t="s">
        <v>573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3B645-D84C-BA40-96B4-1BE6BCEB4F34}">
  <dimension ref="A1"/>
  <sheetViews>
    <sheetView workbookViewId="0"/>
  </sheetViews>
  <sheetFormatPr baseColWidth="10" defaultRowHeight="14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3"/>
  <sheetViews>
    <sheetView showGridLines="0" workbookViewId="0">
      <selection sqref="A1:V1"/>
    </sheetView>
  </sheetViews>
  <sheetFormatPr baseColWidth="10" defaultColWidth="8.83203125" defaultRowHeight="14"/>
  <cols>
    <col min="1" max="1" width="12" customWidth="1"/>
    <col min="2" max="2" width="18" customWidth="1"/>
    <col min="3" max="3" width="30" customWidth="1"/>
    <col min="4" max="4" width="14" customWidth="1"/>
    <col min="5" max="5" width="22" customWidth="1"/>
    <col min="6" max="6" width="16" customWidth="1"/>
    <col min="7" max="7" width="14" customWidth="1"/>
    <col min="8" max="8" width="40" customWidth="1"/>
    <col min="9" max="9" width="12" customWidth="1"/>
    <col min="10" max="13" width="18" customWidth="1"/>
    <col min="14" max="14" width="14" customWidth="1"/>
    <col min="15" max="15" width="12" customWidth="1"/>
    <col min="16" max="16" width="28" customWidth="1"/>
    <col min="17" max="17" width="10" customWidth="1"/>
    <col min="18" max="18" width="15" customWidth="1"/>
    <col min="19" max="19" width="28" customWidth="1"/>
    <col min="20" max="20" width="40" customWidth="1"/>
    <col min="21" max="22" width="16" customWidth="1"/>
  </cols>
  <sheetData>
    <row r="1" spans="1:22" ht="34" customHeight="1">
      <c r="A1" s="18" t="s">
        <v>104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</row>
    <row r="2" spans="1:22" ht="15">
      <c r="A2" s="19" t="s">
        <v>105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</row>
    <row r="3" spans="1:22" ht="15" customHeight="1">
      <c r="A3" s="3" t="s">
        <v>24</v>
      </c>
      <c r="B3" s="8" t="s">
        <v>26</v>
      </c>
      <c r="C3" s="8" t="s">
        <v>27</v>
      </c>
      <c r="D3" s="8" t="s">
        <v>106</v>
      </c>
      <c r="E3" s="8" t="s">
        <v>107</v>
      </c>
      <c r="F3" s="8" t="s">
        <v>108</v>
      </c>
      <c r="G3" s="8" t="s">
        <v>109</v>
      </c>
      <c r="H3" s="8" t="s">
        <v>110</v>
      </c>
      <c r="I3" s="8" t="s">
        <v>111</v>
      </c>
      <c r="J3" s="8" t="s">
        <v>112</v>
      </c>
      <c r="K3" s="8" t="s">
        <v>113</v>
      </c>
      <c r="L3" s="8" t="s">
        <v>114</v>
      </c>
      <c r="M3" s="8" t="s">
        <v>115</v>
      </c>
      <c r="N3" s="8" t="s">
        <v>116</v>
      </c>
      <c r="O3" s="8" t="s">
        <v>117</v>
      </c>
      <c r="P3" s="8" t="s">
        <v>118</v>
      </c>
      <c r="Q3" s="8" t="s">
        <v>119</v>
      </c>
      <c r="R3" s="8" t="s">
        <v>120</v>
      </c>
      <c r="S3" s="8" t="s">
        <v>121</v>
      </c>
      <c r="T3" s="8" t="s">
        <v>122</v>
      </c>
      <c r="U3" s="8" t="s">
        <v>123</v>
      </c>
      <c r="V3" s="4" t="s">
        <v>124</v>
      </c>
    </row>
    <row r="4" spans="1:22" ht="15" customHeight="1">
      <c r="A4" s="5" t="str">
        <f>'Case Input'!A3</f>
        <v>IND-01</v>
      </c>
      <c r="B4" s="5" t="str">
        <f>'Case Input'!C3</f>
        <v>Indian English</v>
      </c>
      <c r="C4" s="5" t="str">
        <f>'Case Input'!D3</f>
        <v>Please revert by tomorrow.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5" t="str">
        <f t="shared" ref="O4:O33" si="0">IF(COUNT(I4:N4)=0,"",SUM(I4:N4))</f>
        <v/>
      </c>
      <c r="P4" s="9"/>
      <c r="Q4" s="9"/>
      <c r="R4" s="9"/>
      <c r="S4" s="9"/>
      <c r="T4" s="9"/>
      <c r="U4" s="9"/>
      <c r="V4" s="9"/>
    </row>
    <row r="5" spans="1:22" ht="15" customHeight="1">
      <c r="A5" s="6" t="str">
        <f>'Case Input'!A4</f>
        <v>IND-02</v>
      </c>
      <c r="B5" s="6" t="str">
        <f>'Case Input'!C4</f>
        <v>Indian English</v>
      </c>
      <c r="C5" s="6" t="str">
        <f>'Case Input'!D4</f>
        <v>Can we prepone the meeting?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6" t="str">
        <f t="shared" si="0"/>
        <v/>
      </c>
      <c r="P5" s="10"/>
      <c r="Q5" s="10"/>
      <c r="R5" s="10"/>
      <c r="S5" s="10"/>
      <c r="T5" s="10"/>
      <c r="U5" s="10"/>
      <c r="V5" s="10"/>
    </row>
    <row r="6" spans="1:22" ht="24" customHeight="1">
      <c r="A6" s="6" t="str">
        <f>'Case Input'!A5</f>
        <v>SG-01</v>
      </c>
      <c r="B6" s="6" t="str">
        <f>'Case Input'!C5</f>
        <v>Singapore English</v>
      </c>
      <c r="C6" s="6" t="str">
        <f>'Case Input'!D5</f>
        <v>Please send me the document by today, can?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6" t="str">
        <f t="shared" si="0"/>
        <v/>
      </c>
      <c r="P6" s="10"/>
      <c r="Q6" s="10"/>
      <c r="R6" s="10"/>
      <c r="S6" s="10"/>
      <c r="T6" s="10"/>
      <c r="U6" s="10"/>
      <c r="V6" s="10"/>
    </row>
    <row r="7" spans="1:22" ht="15" customHeight="1">
      <c r="A7" s="6" t="str">
        <f>'Case Input'!A6</f>
        <v>SG-02</v>
      </c>
      <c r="B7" s="6">
        <f>'Case Input'!C6</f>
        <v>0</v>
      </c>
      <c r="C7" s="6">
        <f>'Case Input'!D6</f>
        <v>0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6" t="str">
        <f t="shared" si="0"/>
        <v/>
      </c>
      <c r="P7" s="10"/>
      <c r="Q7" s="10"/>
      <c r="R7" s="10"/>
      <c r="S7" s="10"/>
      <c r="T7" s="10"/>
      <c r="U7" s="10"/>
      <c r="V7" s="10"/>
    </row>
    <row r="8" spans="1:22" ht="24" customHeight="1">
      <c r="A8" s="6" t="str">
        <f>'Case Input'!A7</f>
        <v>US-01</v>
      </c>
      <c r="B8" s="6" t="str">
        <f>'Case Input'!C7</f>
        <v>American English</v>
      </c>
      <c r="C8" s="6" t="str">
        <f>'Case Input'!D7</f>
        <v>Please send the revised report by 5 pm tomorrow.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6" t="str">
        <f t="shared" si="0"/>
        <v/>
      </c>
      <c r="P8" s="10"/>
      <c r="Q8" s="10"/>
      <c r="R8" s="10"/>
      <c r="S8" s="10"/>
      <c r="T8" s="10"/>
      <c r="U8" s="10"/>
      <c r="V8" s="10"/>
    </row>
    <row r="9" spans="1:22" ht="15" customHeight="1">
      <c r="A9" s="6" t="str">
        <f>'Case Input'!A8</f>
        <v>SG-03</v>
      </c>
      <c r="B9" s="6" t="str">
        <f>'Case Input'!C8</f>
        <v>Singapore English</v>
      </c>
      <c r="C9" s="6" t="str">
        <f>'Case Input'!D8</f>
        <v>I ever met some customer like that.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6" t="str">
        <f t="shared" si="0"/>
        <v/>
      </c>
      <c r="P9" s="10"/>
      <c r="Q9" s="10"/>
      <c r="R9" s="10"/>
      <c r="S9" s="10"/>
      <c r="T9" s="10"/>
      <c r="U9" s="10"/>
      <c r="V9" s="10"/>
    </row>
    <row r="10" spans="1:22" ht="15" customHeight="1">
      <c r="A10" s="6" t="str">
        <f>'Case Input'!A9</f>
        <v>CASE-07</v>
      </c>
      <c r="B10" s="6" t="str">
        <f>'Case Input'!C9</f>
        <v>Singapore English</v>
      </c>
      <c r="C10" s="6" t="str">
        <f>'Case Input'!D9</f>
        <v>John give his boss scold.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6" t="str">
        <f t="shared" si="0"/>
        <v/>
      </c>
      <c r="P10" s="10"/>
      <c r="Q10" s="10"/>
      <c r="R10" s="10"/>
      <c r="S10" s="10"/>
      <c r="T10" s="10"/>
      <c r="U10" s="10"/>
      <c r="V10" s="10"/>
    </row>
    <row r="11" spans="1:22" ht="15" customHeight="1">
      <c r="A11" s="6" t="str">
        <f>'Case Input'!A10</f>
        <v>CASE-08</v>
      </c>
      <c r="B11" s="6" t="str">
        <f>'Case Input'!C10</f>
        <v>Singapore English</v>
      </c>
      <c r="C11" s="6" t="str">
        <f>'Case Input'!D10</f>
        <v>Tell me this project is what.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6" t="str">
        <f t="shared" si="0"/>
        <v/>
      </c>
      <c r="P11" s="10"/>
      <c r="Q11" s="10"/>
      <c r="R11" s="10"/>
      <c r="S11" s="10"/>
      <c r="T11" s="10"/>
      <c r="U11" s="10"/>
      <c r="V11" s="10"/>
    </row>
    <row r="12" spans="1:22" ht="15" customHeight="1">
      <c r="A12" s="6" t="str">
        <f>'Case Input'!A11</f>
        <v>CASE-09</v>
      </c>
      <c r="B12" s="6" t="str">
        <f>'Case Input'!C11</f>
        <v>Singapore English</v>
      </c>
      <c r="C12" s="6" t="str">
        <f>'Case Input'!D11</f>
        <v>So you guys know or not?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6" t="str">
        <f t="shared" si="0"/>
        <v/>
      </c>
      <c r="P12" s="10"/>
      <c r="Q12" s="10"/>
      <c r="R12" s="10"/>
      <c r="S12" s="10"/>
      <c r="T12" s="10"/>
      <c r="U12" s="10"/>
      <c r="V12" s="10"/>
    </row>
    <row r="13" spans="1:22" ht="15" customHeight="1">
      <c r="A13" s="6" t="str">
        <f>'Case Input'!A12</f>
        <v>CASE-10</v>
      </c>
      <c r="B13" s="6" t="str">
        <f>'Case Input'!C12</f>
        <v>Singapore English</v>
      </c>
      <c r="C13" s="6" t="str">
        <f>'Case Input'!D12</f>
        <v>Answer the question, can or not?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6" t="str">
        <f t="shared" si="0"/>
        <v/>
      </c>
      <c r="P13" s="10"/>
      <c r="Q13" s="10"/>
      <c r="R13" s="10"/>
      <c r="S13" s="10"/>
      <c r="T13" s="10"/>
      <c r="U13" s="10"/>
      <c r="V13" s="10"/>
    </row>
    <row r="14" spans="1:22" ht="15" customHeight="1">
      <c r="A14" s="6" t="str">
        <f>'Case Input'!A13</f>
        <v>CASE-11</v>
      </c>
      <c r="B14" s="6" t="str">
        <f>'Case Input'!C13</f>
        <v>Indian English</v>
      </c>
      <c r="C14" s="6" t="str">
        <f>'Case Input'!D13</f>
        <v>Previously we have arranged one gentleman who is running this.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6" t="str">
        <f t="shared" si="0"/>
        <v/>
      </c>
      <c r="P14" s="10"/>
      <c r="Q14" s="10"/>
      <c r="R14" s="10"/>
      <c r="S14" s="10"/>
      <c r="T14" s="10"/>
      <c r="U14" s="10"/>
      <c r="V14" s="10"/>
    </row>
    <row r="15" spans="1:22" ht="15" customHeight="1">
      <c r="A15" s="6" t="str">
        <f>'Case Input'!A14</f>
        <v>CASE-12</v>
      </c>
      <c r="B15" s="6" t="str">
        <f>'Case Input'!C14</f>
        <v>Indian English</v>
      </c>
      <c r="C15" s="6" t="str">
        <f>'Case Input'!D14</f>
        <v>I have come here about six months back.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6" t="str">
        <f t="shared" si="0"/>
        <v/>
      </c>
      <c r="P15" s="10"/>
      <c r="Q15" s="10"/>
      <c r="R15" s="10"/>
      <c r="S15" s="10"/>
      <c r="T15" s="10"/>
      <c r="U15" s="10"/>
      <c r="V15" s="10"/>
    </row>
    <row r="16" spans="1:22" ht="15" customHeight="1">
      <c r="A16" s="6" t="str">
        <f>'Case Input'!A15</f>
        <v>CASE-13</v>
      </c>
      <c r="B16" s="6" t="str">
        <f>'Case Input'!C15</f>
        <v>Indian English</v>
      </c>
      <c r="C16" s="6" t="str">
        <f>'Case Input'!D15</f>
        <v>I would be visiting your place tomorrow.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6" t="str">
        <f t="shared" si="0"/>
        <v/>
      </c>
      <c r="P16" s="10"/>
      <c r="Q16" s="10"/>
      <c r="R16" s="10"/>
      <c r="S16" s="10"/>
      <c r="T16" s="10"/>
      <c r="U16" s="10"/>
      <c r="V16" s="10"/>
    </row>
    <row r="17" spans="1:22" ht="15" customHeight="1">
      <c r="A17" s="6" t="str">
        <f>'Case Input'!A16</f>
        <v>CASE-14</v>
      </c>
      <c r="B17" s="6" t="str">
        <f>'Case Input'!C16</f>
        <v>Indian English</v>
      </c>
      <c r="C17" s="6" t="str">
        <f>'Case Input'!D16</f>
        <v>They have took more pain for this.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6" t="str">
        <f t="shared" si="0"/>
        <v/>
      </c>
      <c r="P17" s="10"/>
      <c r="Q17" s="10"/>
      <c r="R17" s="10"/>
      <c r="S17" s="10"/>
      <c r="T17" s="10"/>
      <c r="U17" s="10"/>
      <c r="V17" s="10"/>
    </row>
    <row r="18" spans="1:22" ht="15" customHeight="1">
      <c r="A18" s="6" t="str">
        <f>'Case Input'!A17</f>
        <v>CASE-15</v>
      </c>
      <c r="B18" s="6" t="str">
        <f>'Case Input'!C17</f>
        <v>Indian English</v>
      </c>
      <c r="C18" s="6" t="str">
        <f>'Case Input'!D17</f>
        <v>I can buy ticket on train itself?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6" t="str">
        <f t="shared" si="0"/>
        <v/>
      </c>
      <c r="P18" s="10"/>
      <c r="Q18" s="10"/>
      <c r="R18" s="10"/>
      <c r="S18" s="10"/>
      <c r="T18" s="10"/>
      <c r="U18" s="10"/>
      <c r="V18" s="10"/>
    </row>
    <row r="19" spans="1:22" ht="15" customHeight="1">
      <c r="A19" s="6" t="str">
        <f>'Case Input'!A18</f>
        <v>CASE-16</v>
      </c>
      <c r="B19" s="6" t="str">
        <f>'Case Input'!C18</f>
        <v>Indian English</v>
      </c>
      <c r="C19" s="6" t="str">
        <f>'Case Input'!D18</f>
        <v>It becomes very clear that what kind of revenues would be there.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6" t="str">
        <f t="shared" si="0"/>
        <v/>
      </c>
      <c r="P19" s="10"/>
      <c r="Q19" s="10"/>
      <c r="R19" s="10"/>
      <c r="S19" s="10"/>
      <c r="T19" s="10"/>
      <c r="U19" s="10"/>
      <c r="V19" s="10"/>
    </row>
    <row r="20" spans="1:22" ht="15" customHeight="1">
      <c r="A20" s="6" t="str">
        <f>'Case Input'!A19</f>
        <v>CASE-17</v>
      </c>
      <c r="B20" s="6" t="str">
        <f>'Case Input'!C19</f>
        <v>American English</v>
      </c>
      <c r="C20" s="6" t="str">
        <f>'Case Input'!D19</f>
        <v>Meet me on the first floor by the elevators.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6" t="str">
        <f t="shared" si="0"/>
        <v/>
      </c>
      <c r="P20" s="10"/>
      <c r="Q20" s="10"/>
      <c r="R20" s="10"/>
      <c r="S20" s="10"/>
      <c r="T20" s="10"/>
      <c r="U20" s="10"/>
      <c r="V20" s="10"/>
    </row>
    <row r="21" spans="1:22" ht="15" customHeight="1">
      <c r="A21" s="6" t="str">
        <f>'Case Input'!A20</f>
        <v>CASE-18</v>
      </c>
      <c r="B21" s="6" t="str">
        <f>'Case Input'!C20</f>
        <v>American English</v>
      </c>
      <c r="C21" s="6" t="str">
        <f>'Case Input'!D20</f>
        <v>Let's table the proposal until next week's meeting.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6" t="str">
        <f t="shared" si="0"/>
        <v/>
      </c>
      <c r="P21" s="10"/>
      <c r="Q21" s="10"/>
      <c r="R21" s="10"/>
      <c r="S21" s="10"/>
      <c r="T21" s="10"/>
      <c r="U21" s="10"/>
      <c r="V21" s="10"/>
    </row>
    <row r="22" spans="1:22" ht="15" customHeight="1">
      <c r="A22" s="6" t="str">
        <f>'Case Input'!A21</f>
        <v>CASE-19</v>
      </c>
      <c r="B22" s="6" t="str">
        <f>'Case Input'!C21</f>
        <v>American English</v>
      </c>
      <c r="C22" s="6" t="str">
        <f>'Case Input'!D21</f>
        <v>Starting in September, the team will meet biweekly.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6" t="str">
        <f t="shared" si="0"/>
        <v/>
      </c>
      <c r="P22" s="10"/>
      <c r="Q22" s="10"/>
      <c r="R22" s="10"/>
      <c r="S22" s="10"/>
      <c r="T22" s="10"/>
      <c r="U22" s="10"/>
      <c r="V22" s="10"/>
    </row>
    <row r="23" spans="1:22" ht="15" customHeight="1">
      <c r="A23" s="6" t="str">
        <f>'Case Input'!A22</f>
        <v>CASE-20</v>
      </c>
      <c r="B23" s="6" t="str">
        <f>'Case Input'!C22</f>
        <v>American English</v>
      </c>
      <c r="C23" s="6" t="str">
        <f>'Case Input'!D22</f>
        <v>The customer review is scheduled for 04/05/2026.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6" t="str">
        <f t="shared" si="0"/>
        <v/>
      </c>
      <c r="P23" s="10"/>
      <c r="Q23" s="10"/>
      <c r="R23" s="10"/>
      <c r="S23" s="10"/>
      <c r="T23" s="10"/>
      <c r="U23" s="10"/>
      <c r="V23" s="10"/>
    </row>
    <row r="24" spans="1:22" ht="15" customHeight="1">
      <c r="A24" s="6" t="str">
        <f>'Case Input'!A23</f>
        <v>CASE-21</v>
      </c>
      <c r="B24" s="6" t="str">
        <f>'Case Input'!C23</f>
        <v>American English</v>
      </c>
      <c r="C24" s="6" t="str">
        <f>'Case Input'!D23</f>
        <v>Your order has shipped and is expected to arrive on Tuesday.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6" t="str">
        <f t="shared" si="0"/>
        <v/>
      </c>
      <c r="P24" s="10"/>
      <c r="Q24" s="10"/>
      <c r="R24" s="10"/>
      <c r="S24" s="10"/>
      <c r="T24" s="10"/>
      <c r="U24" s="10"/>
      <c r="V24" s="10"/>
    </row>
    <row r="25" spans="1:22" ht="15" customHeight="1">
      <c r="A25" s="6" t="str">
        <f>'Case Input'!A24</f>
        <v>CASE-22</v>
      </c>
      <c r="B25" s="6">
        <f>'Case Input'!C24</f>
        <v>0</v>
      </c>
      <c r="C25" s="6">
        <f>'Case Input'!D24</f>
        <v>0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6" t="str">
        <f t="shared" si="0"/>
        <v/>
      </c>
      <c r="P25" s="10"/>
      <c r="Q25" s="10"/>
      <c r="R25" s="10"/>
      <c r="S25" s="10"/>
      <c r="T25" s="10"/>
      <c r="U25" s="10"/>
      <c r="V25" s="10"/>
    </row>
    <row r="26" spans="1:22" ht="15" customHeight="1">
      <c r="A26" s="6" t="str">
        <f>'Case Input'!A25</f>
        <v>CASE-23</v>
      </c>
      <c r="B26" s="6">
        <f>'Case Input'!C25</f>
        <v>0</v>
      </c>
      <c r="C26" s="6">
        <f>'Case Input'!D25</f>
        <v>0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6" t="str">
        <f t="shared" si="0"/>
        <v/>
      </c>
      <c r="P26" s="10"/>
      <c r="Q26" s="10"/>
      <c r="R26" s="10"/>
      <c r="S26" s="10"/>
      <c r="T26" s="10"/>
      <c r="U26" s="10"/>
      <c r="V26" s="10"/>
    </row>
    <row r="27" spans="1:22" ht="15" customHeight="1">
      <c r="A27" s="6" t="str">
        <f>'Case Input'!A26</f>
        <v>CASE-24</v>
      </c>
      <c r="B27" s="6">
        <f>'Case Input'!C26</f>
        <v>0</v>
      </c>
      <c r="C27" s="6">
        <f>'Case Input'!D26</f>
        <v>0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6" t="str">
        <f t="shared" si="0"/>
        <v/>
      </c>
      <c r="P27" s="10"/>
      <c r="Q27" s="10"/>
      <c r="R27" s="10"/>
      <c r="S27" s="10"/>
      <c r="T27" s="10"/>
      <c r="U27" s="10"/>
      <c r="V27" s="10"/>
    </row>
    <row r="28" spans="1:22" ht="15" customHeight="1">
      <c r="A28" s="6" t="str">
        <f>'Case Input'!A27</f>
        <v>CASE-25</v>
      </c>
      <c r="B28" s="6">
        <f>'Case Input'!C27</f>
        <v>0</v>
      </c>
      <c r="C28" s="6">
        <f>'Case Input'!D27</f>
        <v>0</v>
      </c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6" t="str">
        <f t="shared" si="0"/>
        <v/>
      </c>
      <c r="P28" s="10"/>
      <c r="Q28" s="10"/>
      <c r="R28" s="10"/>
      <c r="S28" s="10"/>
      <c r="T28" s="10"/>
      <c r="U28" s="10"/>
      <c r="V28" s="10"/>
    </row>
    <row r="29" spans="1:22" ht="15" customHeight="1">
      <c r="A29" s="6" t="str">
        <f>'Case Input'!A28</f>
        <v>CASE-26</v>
      </c>
      <c r="B29" s="6">
        <f>'Case Input'!C28</f>
        <v>0</v>
      </c>
      <c r="C29" s="6">
        <f>'Case Input'!D28</f>
        <v>0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6" t="str">
        <f t="shared" si="0"/>
        <v/>
      </c>
      <c r="P29" s="10"/>
      <c r="Q29" s="10"/>
      <c r="R29" s="10"/>
      <c r="S29" s="10"/>
      <c r="T29" s="10"/>
      <c r="U29" s="10"/>
      <c r="V29" s="10"/>
    </row>
    <row r="30" spans="1:22" ht="15" customHeight="1">
      <c r="A30" s="6" t="str">
        <f>'Case Input'!A29</f>
        <v>CASE-27</v>
      </c>
      <c r="B30" s="6">
        <f>'Case Input'!C29</f>
        <v>0</v>
      </c>
      <c r="C30" s="6">
        <f>'Case Input'!D29</f>
        <v>0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6" t="str">
        <f t="shared" si="0"/>
        <v/>
      </c>
      <c r="P30" s="10"/>
      <c r="Q30" s="10"/>
      <c r="R30" s="10"/>
      <c r="S30" s="10"/>
      <c r="T30" s="10"/>
      <c r="U30" s="10"/>
      <c r="V30" s="10"/>
    </row>
    <row r="31" spans="1:22" ht="15" customHeight="1">
      <c r="A31" s="6" t="str">
        <f>'Case Input'!A30</f>
        <v>CASE-28</v>
      </c>
      <c r="B31" s="6">
        <f>'Case Input'!C30</f>
        <v>0</v>
      </c>
      <c r="C31" s="6">
        <f>'Case Input'!D30</f>
        <v>0</v>
      </c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6" t="str">
        <f t="shared" si="0"/>
        <v/>
      </c>
      <c r="P31" s="10"/>
      <c r="Q31" s="10"/>
      <c r="R31" s="10"/>
      <c r="S31" s="10"/>
      <c r="T31" s="10"/>
      <c r="U31" s="10"/>
      <c r="V31" s="10"/>
    </row>
    <row r="32" spans="1:22" ht="15" customHeight="1">
      <c r="A32" s="6" t="str">
        <f>'Case Input'!A31</f>
        <v>CASE-29</v>
      </c>
      <c r="B32" s="6">
        <f>'Case Input'!C31</f>
        <v>0</v>
      </c>
      <c r="C32" s="6">
        <f>'Case Input'!D31</f>
        <v>0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6" t="str">
        <f t="shared" si="0"/>
        <v/>
      </c>
      <c r="P32" s="10"/>
      <c r="Q32" s="10"/>
      <c r="R32" s="10"/>
      <c r="S32" s="10"/>
      <c r="T32" s="10"/>
      <c r="U32" s="10"/>
      <c r="V32" s="10"/>
    </row>
    <row r="33" spans="1:22" ht="15" customHeight="1">
      <c r="A33" s="7" t="str">
        <f>'Case Input'!A32</f>
        <v>CASE-30</v>
      </c>
      <c r="B33" s="7">
        <f>'Case Input'!C32</f>
        <v>0</v>
      </c>
      <c r="C33" s="7">
        <f>'Case Input'!D32</f>
        <v>0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7" t="str">
        <f t="shared" si="0"/>
        <v/>
      </c>
      <c r="P33" s="11"/>
      <c r="Q33" s="11"/>
      <c r="R33" s="11"/>
      <c r="S33" s="11"/>
      <c r="T33" s="11"/>
      <c r="U33" s="11"/>
      <c r="V33" s="11"/>
    </row>
  </sheetData>
  <mergeCells count="2">
    <mergeCell ref="A1:V1"/>
    <mergeCell ref="A2:V2"/>
  </mergeCells>
  <dataValidations count="5">
    <dataValidation type="list" sqref="F4:F33" xr:uid="{00000000-0002-0000-0200-000000000000}">
      <formula1>"Yes,No"</formula1>
    </dataValidation>
    <dataValidation type="whole" sqref="I4:N33" xr:uid="{00000000-0002-0000-0200-000001000000}">
      <formula1>0</formula1>
      <formula2>2</formula2>
    </dataValidation>
    <dataValidation type="list" sqref="Q4:Q33" xr:uid="{00000000-0002-0000-0200-000002000000}">
      <formula1>"P0,P1,P2,P3,None"</formula1>
    </dataValidation>
    <dataValidation type="list" sqref="R4:R33" xr:uid="{00000000-0002-0000-0200-000003000000}">
      <formula1>"Pass,Fail,Not tested"</formula1>
    </dataValidation>
    <dataValidation type="list" sqref="V4:V33" xr:uid="{00000000-0002-0000-0200-000004000000}">
      <formula1>"Not needed,Pending,Passed,Failed"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9"/>
  <sheetViews>
    <sheetView showGridLines="0" topLeftCell="A10" workbookViewId="0">
      <selection sqref="A1:D1"/>
    </sheetView>
  </sheetViews>
  <sheetFormatPr baseColWidth="10" defaultColWidth="8.83203125" defaultRowHeight="14"/>
  <cols>
    <col min="1" max="1" width="24" customWidth="1"/>
    <col min="2" max="4" width="42" customWidth="1"/>
  </cols>
  <sheetData>
    <row r="1" spans="1:4" ht="34" customHeight="1">
      <c r="A1" s="18" t="s">
        <v>125</v>
      </c>
      <c r="B1" s="18"/>
      <c r="C1" s="18"/>
      <c r="D1" s="18"/>
    </row>
    <row r="3" spans="1:4" ht="15" customHeight="1">
      <c r="A3" s="3" t="s">
        <v>126</v>
      </c>
      <c r="B3" s="8" t="s">
        <v>127</v>
      </c>
      <c r="C3" s="8" t="s">
        <v>128</v>
      </c>
      <c r="D3" s="4" t="s">
        <v>129</v>
      </c>
    </row>
    <row r="4" spans="1:4" ht="15" customHeight="1">
      <c r="A4" s="5" t="s">
        <v>111</v>
      </c>
      <c r="B4" s="5" t="s">
        <v>130</v>
      </c>
      <c r="C4" s="5" t="s">
        <v>131</v>
      </c>
      <c r="D4" s="5" t="s">
        <v>132</v>
      </c>
    </row>
    <row r="5" spans="1:4" ht="15" customHeight="1">
      <c r="A5" s="6" t="s">
        <v>112</v>
      </c>
      <c r="B5" s="6" t="s">
        <v>133</v>
      </c>
      <c r="C5" s="6" t="s">
        <v>134</v>
      </c>
      <c r="D5" s="6" t="s">
        <v>135</v>
      </c>
    </row>
    <row r="6" spans="1:4" ht="15" customHeight="1">
      <c r="A6" s="6" t="s">
        <v>113</v>
      </c>
      <c r="B6" s="6" t="s">
        <v>136</v>
      </c>
      <c r="C6" s="6" t="s">
        <v>137</v>
      </c>
      <c r="D6" s="6" t="s">
        <v>138</v>
      </c>
    </row>
    <row r="7" spans="1:4" ht="15" customHeight="1">
      <c r="A7" s="6" t="s">
        <v>114</v>
      </c>
      <c r="B7" s="6" t="s">
        <v>139</v>
      </c>
      <c r="C7" s="6" t="s">
        <v>140</v>
      </c>
      <c r="D7" s="6" t="s">
        <v>141</v>
      </c>
    </row>
    <row r="8" spans="1:4" ht="15" customHeight="1">
      <c r="A8" s="6" t="s">
        <v>115</v>
      </c>
      <c r="B8" s="6" t="s">
        <v>142</v>
      </c>
      <c r="C8" s="6" t="s">
        <v>143</v>
      </c>
      <c r="D8" s="6" t="s">
        <v>144</v>
      </c>
    </row>
    <row r="9" spans="1:4" ht="15" customHeight="1">
      <c r="A9" s="7" t="s">
        <v>116</v>
      </c>
      <c r="B9" s="7" t="s">
        <v>145</v>
      </c>
      <c r="C9" s="7" t="s">
        <v>146</v>
      </c>
      <c r="D9" s="7" t="s">
        <v>147</v>
      </c>
    </row>
    <row r="12" spans="1:4" ht="15" customHeight="1">
      <c r="A12" s="3" t="s">
        <v>148</v>
      </c>
      <c r="B12" s="4" t="s">
        <v>111</v>
      </c>
    </row>
    <row r="13" spans="1:4" ht="15" customHeight="1">
      <c r="A13" s="5" t="s">
        <v>149</v>
      </c>
      <c r="B13" s="5" t="s">
        <v>150</v>
      </c>
    </row>
    <row r="14" spans="1:4" ht="15" customHeight="1">
      <c r="A14" s="6" t="s">
        <v>151</v>
      </c>
      <c r="B14" s="6" t="s">
        <v>152</v>
      </c>
    </row>
    <row r="15" spans="1:4" ht="15" customHeight="1">
      <c r="A15" s="6" t="s">
        <v>153</v>
      </c>
      <c r="B15" s="6" t="s">
        <v>154</v>
      </c>
    </row>
    <row r="16" spans="1:4" ht="15" customHeight="1">
      <c r="A16" s="6" t="s">
        <v>155</v>
      </c>
      <c r="B16" s="6" t="s">
        <v>156</v>
      </c>
    </row>
    <row r="17" spans="1:3" ht="15" customHeight="1">
      <c r="A17" s="6" t="s">
        <v>157</v>
      </c>
      <c r="B17" s="6" t="s">
        <v>158</v>
      </c>
    </row>
    <row r="18" spans="1:3" ht="15" customHeight="1">
      <c r="A18" s="6" t="s">
        <v>159</v>
      </c>
      <c r="B18" s="6" t="s">
        <v>160</v>
      </c>
    </row>
    <row r="19" spans="1:3" ht="15" customHeight="1">
      <c r="A19" s="6" t="s">
        <v>161</v>
      </c>
      <c r="B19" s="6" t="s">
        <v>162</v>
      </c>
    </row>
    <row r="20" spans="1:3" ht="15" customHeight="1">
      <c r="A20" s="6" t="s">
        <v>163</v>
      </c>
      <c r="B20" s="6" t="s">
        <v>164</v>
      </c>
    </row>
    <row r="21" spans="1:3" ht="15" customHeight="1">
      <c r="A21" s="6" t="s">
        <v>165</v>
      </c>
      <c r="B21" s="6" t="s">
        <v>166</v>
      </c>
    </row>
    <row r="22" spans="1:3" ht="15" customHeight="1">
      <c r="A22" s="6" t="s">
        <v>167</v>
      </c>
      <c r="B22" s="6" t="s">
        <v>168</v>
      </c>
    </row>
    <row r="23" spans="1:3" ht="15" customHeight="1">
      <c r="A23" s="7" t="s">
        <v>169</v>
      </c>
      <c r="B23" s="7" t="s">
        <v>170</v>
      </c>
    </row>
    <row r="26" spans="1:3" ht="15" customHeight="1">
      <c r="A26" s="3" t="s">
        <v>119</v>
      </c>
      <c r="B26" s="8" t="s">
        <v>111</v>
      </c>
      <c r="C26" s="4" t="s">
        <v>171</v>
      </c>
    </row>
    <row r="27" spans="1:3" ht="15" customHeight="1">
      <c r="A27" s="5" t="s">
        <v>172</v>
      </c>
      <c r="B27" s="5" t="s">
        <v>173</v>
      </c>
      <c r="C27" s="5" t="s">
        <v>174</v>
      </c>
    </row>
    <row r="28" spans="1:3" ht="15" customHeight="1">
      <c r="A28" s="6" t="s">
        <v>175</v>
      </c>
      <c r="B28" s="6" t="s">
        <v>176</v>
      </c>
      <c r="C28" s="6" t="s">
        <v>177</v>
      </c>
    </row>
    <row r="29" spans="1:3" ht="15" customHeight="1">
      <c r="A29" s="6" t="s">
        <v>178</v>
      </c>
      <c r="B29" s="6" t="s">
        <v>179</v>
      </c>
      <c r="C29" s="6" t="s">
        <v>180</v>
      </c>
    </row>
    <row r="30" spans="1:3" ht="15" customHeight="1">
      <c r="A30" s="7" t="s">
        <v>181</v>
      </c>
      <c r="B30" s="7" t="s">
        <v>182</v>
      </c>
      <c r="C30" s="7" t="s">
        <v>183</v>
      </c>
    </row>
    <row r="33" spans="1:2" ht="15" customHeight="1">
      <c r="A33" s="3" t="s">
        <v>184</v>
      </c>
      <c r="B33" s="4" t="s">
        <v>185</v>
      </c>
    </row>
    <row r="34" spans="1:2" ht="15" customHeight="1">
      <c r="A34" s="5" t="s">
        <v>30</v>
      </c>
      <c r="B34" s="5" t="s">
        <v>186</v>
      </c>
    </row>
    <row r="35" spans="1:2" ht="15" customHeight="1">
      <c r="A35" s="6" t="s">
        <v>187</v>
      </c>
      <c r="B35" s="6" t="s">
        <v>188</v>
      </c>
    </row>
    <row r="36" spans="1:2" ht="15" customHeight="1">
      <c r="A36" s="6" t="s">
        <v>189</v>
      </c>
      <c r="B36" s="6" t="s">
        <v>190</v>
      </c>
    </row>
    <row r="37" spans="1:2" ht="15" customHeight="1">
      <c r="A37" s="6" t="s">
        <v>191</v>
      </c>
      <c r="B37" s="6" t="s">
        <v>192</v>
      </c>
    </row>
    <row r="38" spans="1:2" ht="24" customHeight="1">
      <c r="A38" s="6" t="s">
        <v>193</v>
      </c>
      <c r="B38" s="6" t="s">
        <v>194</v>
      </c>
    </row>
    <row r="39" spans="1:2" ht="15" customHeight="1">
      <c r="A39" s="7" t="s">
        <v>195</v>
      </c>
      <c r="B39" s="7" t="s">
        <v>196</v>
      </c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1A825-2BA6-444E-BDB3-368CB6D4CAE1}">
  <dimension ref="A1:I105"/>
  <sheetViews>
    <sheetView topLeftCell="A83" workbookViewId="0">
      <selection activeCell="A106" sqref="A106:O111"/>
    </sheetView>
  </sheetViews>
  <sheetFormatPr baseColWidth="10" defaultRowHeight="14"/>
  <cols>
    <col min="3" max="3" width="43.33203125" customWidth="1"/>
    <col min="4" max="4" width="66.6640625" customWidth="1"/>
  </cols>
  <sheetData>
    <row r="1" spans="1:9">
      <c r="A1" t="s">
        <v>197</v>
      </c>
      <c r="B1" t="s">
        <v>198</v>
      </c>
      <c r="C1" t="s">
        <v>199</v>
      </c>
      <c r="D1" t="s">
        <v>200</v>
      </c>
      <c r="E1" t="s">
        <v>201</v>
      </c>
      <c r="F1" t="s">
        <v>202</v>
      </c>
      <c r="G1" t="s">
        <v>35</v>
      </c>
      <c r="H1" t="s">
        <v>37</v>
      </c>
      <c r="I1" t="s">
        <v>203</v>
      </c>
    </row>
    <row r="2" spans="1:9">
      <c r="A2" t="s">
        <v>204</v>
      </c>
      <c r="B2">
        <v>3580</v>
      </c>
      <c r="C2" t="s">
        <v>205</v>
      </c>
      <c r="D2" t="s">
        <v>205</v>
      </c>
      <c r="E2" t="s">
        <v>206</v>
      </c>
      <c r="F2" t="s">
        <v>207</v>
      </c>
      <c r="G2" t="s">
        <v>208</v>
      </c>
      <c r="H2" t="s">
        <v>209</v>
      </c>
      <c r="I2" t="s">
        <v>210</v>
      </c>
    </row>
    <row r="3" spans="1:9">
      <c r="A3" t="s">
        <v>211</v>
      </c>
      <c r="B3">
        <v>3581</v>
      </c>
      <c r="C3" t="s">
        <v>212</v>
      </c>
      <c r="D3" t="s">
        <v>213</v>
      </c>
      <c r="E3" t="s">
        <v>206</v>
      </c>
      <c r="F3" t="s">
        <v>207</v>
      </c>
      <c r="G3" t="s">
        <v>208</v>
      </c>
      <c r="H3" t="s">
        <v>214</v>
      </c>
      <c r="I3" t="s">
        <v>215</v>
      </c>
    </row>
    <row r="4" spans="1:9">
      <c r="A4" t="s">
        <v>216</v>
      </c>
      <c r="B4">
        <v>3582</v>
      </c>
      <c r="C4" t="s">
        <v>217</v>
      </c>
      <c r="D4" t="s">
        <v>218</v>
      </c>
      <c r="E4" t="s">
        <v>206</v>
      </c>
      <c r="F4" t="s">
        <v>207</v>
      </c>
      <c r="G4" t="s">
        <v>208</v>
      </c>
      <c r="H4" t="s">
        <v>219</v>
      </c>
      <c r="I4" t="s">
        <v>210</v>
      </c>
    </row>
    <row r="5" spans="1:9">
      <c r="A5" t="s">
        <v>220</v>
      </c>
      <c r="B5">
        <v>3583</v>
      </c>
      <c r="C5" t="s">
        <v>221</v>
      </c>
      <c r="D5" t="s">
        <v>222</v>
      </c>
      <c r="E5" t="s">
        <v>206</v>
      </c>
      <c r="F5" t="s">
        <v>207</v>
      </c>
      <c r="G5" t="s">
        <v>208</v>
      </c>
      <c r="H5" t="s">
        <v>223</v>
      </c>
      <c r="I5" t="s">
        <v>210</v>
      </c>
    </row>
    <row r="6" spans="1:9">
      <c r="A6" t="s">
        <v>224</v>
      </c>
      <c r="B6">
        <v>3584</v>
      </c>
      <c r="C6" t="s">
        <v>225</v>
      </c>
      <c r="D6" t="s">
        <v>225</v>
      </c>
      <c r="E6" t="s">
        <v>206</v>
      </c>
      <c r="F6" t="s">
        <v>207</v>
      </c>
      <c r="G6" t="s">
        <v>208</v>
      </c>
      <c r="H6" t="s">
        <v>226</v>
      </c>
      <c r="I6" t="s">
        <v>210</v>
      </c>
    </row>
    <row r="7" spans="1:9">
      <c r="A7" t="s">
        <v>227</v>
      </c>
      <c r="B7">
        <v>3585</v>
      </c>
      <c r="C7" t="s">
        <v>228</v>
      </c>
      <c r="D7" t="s">
        <v>228</v>
      </c>
      <c r="E7" t="s">
        <v>206</v>
      </c>
      <c r="F7" t="s">
        <v>207</v>
      </c>
      <c r="G7" t="s">
        <v>208</v>
      </c>
      <c r="H7" t="s">
        <v>229</v>
      </c>
      <c r="I7" t="s">
        <v>210</v>
      </c>
    </row>
    <row r="8" spans="1:9">
      <c r="A8" t="s">
        <v>230</v>
      </c>
      <c r="B8">
        <v>3586</v>
      </c>
      <c r="C8" t="s">
        <v>231</v>
      </c>
      <c r="D8" t="s">
        <v>232</v>
      </c>
      <c r="E8" t="s">
        <v>206</v>
      </c>
      <c r="F8" t="s">
        <v>207</v>
      </c>
      <c r="G8" t="s">
        <v>208</v>
      </c>
      <c r="H8" t="s">
        <v>233</v>
      </c>
      <c r="I8" t="s">
        <v>210</v>
      </c>
    </row>
    <row r="9" spans="1:9">
      <c r="A9" t="s">
        <v>234</v>
      </c>
      <c r="B9">
        <v>3587</v>
      </c>
      <c r="C9" t="s">
        <v>235</v>
      </c>
      <c r="D9" t="s">
        <v>236</v>
      </c>
      <c r="E9" t="s">
        <v>206</v>
      </c>
      <c r="F9" t="s">
        <v>207</v>
      </c>
      <c r="G9" t="s">
        <v>208</v>
      </c>
      <c r="H9" t="s">
        <v>237</v>
      </c>
      <c r="I9" t="s">
        <v>210</v>
      </c>
    </row>
    <row r="10" spans="1:9">
      <c r="A10" t="s">
        <v>238</v>
      </c>
      <c r="B10">
        <v>3588</v>
      </c>
      <c r="C10" t="s">
        <v>239</v>
      </c>
      <c r="D10" t="s">
        <v>239</v>
      </c>
      <c r="E10" t="s">
        <v>206</v>
      </c>
      <c r="F10" t="s">
        <v>207</v>
      </c>
      <c r="G10" t="s">
        <v>208</v>
      </c>
      <c r="H10" t="s">
        <v>240</v>
      </c>
      <c r="I10" t="s">
        <v>210</v>
      </c>
    </row>
    <row r="11" spans="1:9" s="20" customFormat="1">
      <c r="A11" s="20" t="s">
        <v>241</v>
      </c>
      <c r="B11" s="20">
        <v>3589</v>
      </c>
      <c r="C11" s="20" t="s">
        <v>242</v>
      </c>
      <c r="D11" s="20" t="s">
        <v>242</v>
      </c>
      <c r="E11" s="20" t="s">
        <v>206</v>
      </c>
      <c r="F11" s="20" t="s">
        <v>207</v>
      </c>
      <c r="G11" s="20" t="s">
        <v>208</v>
      </c>
      <c r="H11" s="20" t="s">
        <v>243</v>
      </c>
      <c r="I11" s="20" t="s">
        <v>210</v>
      </c>
    </row>
    <row r="12" spans="1:9">
      <c r="A12" t="s">
        <v>244</v>
      </c>
      <c r="B12">
        <v>3590</v>
      </c>
      <c r="C12" t="s">
        <v>245</v>
      </c>
      <c r="D12" t="s">
        <v>246</v>
      </c>
      <c r="E12" t="s">
        <v>206</v>
      </c>
      <c r="F12" t="s">
        <v>207</v>
      </c>
      <c r="G12" t="s">
        <v>208</v>
      </c>
      <c r="H12" t="s">
        <v>247</v>
      </c>
      <c r="I12" t="s">
        <v>248</v>
      </c>
    </row>
    <row r="13" spans="1:9">
      <c r="A13" t="s">
        <v>249</v>
      </c>
      <c r="B13">
        <v>3590</v>
      </c>
      <c r="C13" t="s">
        <v>250</v>
      </c>
      <c r="D13" t="s">
        <v>246</v>
      </c>
      <c r="E13" t="s">
        <v>206</v>
      </c>
      <c r="F13" t="s">
        <v>207</v>
      </c>
      <c r="G13" t="s">
        <v>208</v>
      </c>
      <c r="H13" t="s">
        <v>247</v>
      </c>
      <c r="I13" t="s">
        <v>248</v>
      </c>
    </row>
    <row r="14" spans="1:9">
      <c r="A14" t="s">
        <v>251</v>
      </c>
      <c r="B14">
        <v>3590</v>
      </c>
      <c r="C14" t="s">
        <v>252</v>
      </c>
      <c r="D14" t="s">
        <v>246</v>
      </c>
      <c r="E14" t="s">
        <v>206</v>
      </c>
      <c r="F14" t="s">
        <v>207</v>
      </c>
      <c r="G14" t="s">
        <v>208</v>
      </c>
      <c r="H14" t="s">
        <v>247</v>
      </c>
      <c r="I14" t="s">
        <v>248</v>
      </c>
    </row>
    <row r="15" spans="1:9">
      <c r="A15" t="s">
        <v>253</v>
      </c>
      <c r="B15">
        <v>3591</v>
      </c>
      <c r="C15" t="s">
        <v>254</v>
      </c>
      <c r="D15" t="s">
        <v>254</v>
      </c>
      <c r="E15" t="s">
        <v>206</v>
      </c>
      <c r="F15" t="s">
        <v>207</v>
      </c>
      <c r="G15" t="s">
        <v>208</v>
      </c>
      <c r="H15" t="s">
        <v>255</v>
      </c>
      <c r="I15" t="s">
        <v>256</v>
      </c>
    </row>
    <row r="16" spans="1:9">
      <c r="A16" t="s">
        <v>257</v>
      </c>
      <c r="B16">
        <v>3592</v>
      </c>
      <c r="C16" t="s">
        <v>258</v>
      </c>
      <c r="D16" t="s">
        <v>258</v>
      </c>
      <c r="E16" t="s">
        <v>206</v>
      </c>
      <c r="F16" t="s">
        <v>207</v>
      </c>
      <c r="G16" t="s">
        <v>208</v>
      </c>
      <c r="H16" t="s">
        <v>259</v>
      </c>
      <c r="I16" t="s">
        <v>260</v>
      </c>
    </row>
    <row r="17" spans="1:9">
      <c r="A17" t="s">
        <v>261</v>
      </c>
      <c r="B17">
        <v>3593</v>
      </c>
      <c r="C17" t="s">
        <v>262</v>
      </c>
      <c r="D17" t="s">
        <v>262</v>
      </c>
      <c r="E17" t="s">
        <v>206</v>
      </c>
      <c r="F17" t="s">
        <v>207</v>
      </c>
      <c r="G17" t="s">
        <v>208</v>
      </c>
      <c r="H17" t="s">
        <v>263</v>
      </c>
      <c r="I17" t="s">
        <v>210</v>
      </c>
    </row>
    <row r="18" spans="1:9">
      <c r="A18" t="s">
        <v>264</v>
      </c>
      <c r="B18">
        <v>3594</v>
      </c>
      <c r="C18" t="s">
        <v>265</v>
      </c>
      <c r="D18" t="s">
        <v>265</v>
      </c>
      <c r="E18" t="s">
        <v>206</v>
      </c>
      <c r="F18" t="s">
        <v>207</v>
      </c>
      <c r="G18" t="s">
        <v>208</v>
      </c>
      <c r="H18" t="s">
        <v>266</v>
      </c>
      <c r="I18" t="s">
        <v>210</v>
      </c>
    </row>
    <row r="19" spans="1:9">
      <c r="A19" t="s">
        <v>267</v>
      </c>
      <c r="B19">
        <v>3595</v>
      </c>
      <c r="C19" t="s">
        <v>268</v>
      </c>
      <c r="D19" t="s">
        <v>268</v>
      </c>
      <c r="E19" t="s">
        <v>206</v>
      </c>
      <c r="F19" t="s">
        <v>207</v>
      </c>
      <c r="G19" t="s">
        <v>208</v>
      </c>
      <c r="H19" t="s">
        <v>269</v>
      </c>
      <c r="I19" t="s">
        <v>210</v>
      </c>
    </row>
    <row r="20" spans="1:9">
      <c r="A20" t="s">
        <v>270</v>
      </c>
      <c r="B20">
        <v>3596</v>
      </c>
      <c r="C20" t="s">
        <v>271</v>
      </c>
      <c r="D20" t="s">
        <v>271</v>
      </c>
      <c r="E20" t="s">
        <v>206</v>
      </c>
      <c r="F20" t="s">
        <v>207</v>
      </c>
      <c r="G20" t="s">
        <v>208</v>
      </c>
      <c r="H20" t="s">
        <v>272</v>
      </c>
      <c r="I20" t="s">
        <v>210</v>
      </c>
    </row>
    <row r="21" spans="1:9">
      <c r="A21" t="s">
        <v>273</v>
      </c>
      <c r="B21">
        <v>3597</v>
      </c>
      <c r="C21" t="s">
        <v>274</v>
      </c>
      <c r="D21" t="s">
        <v>274</v>
      </c>
      <c r="E21" t="s">
        <v>206</v>
      </c>
      <c r="F21" t="s">
        <v>207</v>
      </c>
      <c r="G21" t="s">
        <v>208</v>
      </c>
      <c r="H21" t="s">
        <v>275</v>
      </c>
      <c r="I21" t="s">
        <v>276</v>
      </c>
    </row>
    <row r="22" spans="1:9">
      <c r="A22" t="s">
        <v>277</v>
      </c>
      <c r="B22">
        <v>3598</v>
      </c>
      <c r="C22" t="s">
        <v>278</v>
      </c>
      <c r="D22" t="s">
        <v>278</v>
      </c>
      <c r="E22" t="s">
        <v>206</v>
      </c>
      <c r="F22" t="s">
        <v>207</v>
      </c>
      <c r="G22" t="s">
        <v>208</v>
      </c>
      <c r="H22" t="s">
        <v>279</v>
      </c>
      <c r="I22" t="s">
        <v>276</v>
      </c>
    </row>
    <row r="23" spans="1:9">
      <c r="A23" t="s">
        <v>280</v>
      </c>
      <c r="B23">
        <v>3599</v>
      </c>
      <c r="C23" t="s">
        <v>281</v>
      </c>
      <c r="D23" t="s">
        <v>281</v>
      </c>
      <c r="E23" t="s">
        <v>206</v>
      </c>
      <c r="F23" t="s">
        <v>207</v>
      </c>
      <c r="G23" t="s">
        <v>208</v>
      </c>
      <c r="H23" t="s">
        <v>282</v>
      </c>
      <c r="I23" t="s">
        <v>210</v>
      </c>
    </row>
    <row r="24" spans="1:9">
      <c r="A24" t="s">
        <v>283</v>
      </c>
      <c r="B24">
        <v>3600</v>
      </c>
      <c r="C24" t="s">
        <v>284</v>
      </c>
      <c r="D24" t="s">
        <v>284</v>
      </c>
      <c r="E24" t="s">
        <v>206</v>
      </c>
      <c r="F24" t="s">
        <v>207</v>
      </c>
      <c r="G24" t="s">
        <v>208</v>
      </c>
      <c r="H24" t="s">
        <v>285</v>
      </c>
      <c r="I24" t="s">
        <v>215</v>
      </c>
    </row>
    <row r="25" spans="1:9">
      <c r="A25" t="s">
        <v>286</v>
      </c>
      <c r="B25">
        <v>3601</v>
      </c>
      <c r="C25" t="s">
        <v>287</v>
      </c>
      <c r="D25" t="s">
        <v>287</v>
      </c>
      <c r="E25" t="s">
        <v>206</v>
      </c>
      <c r="F25" t="s">
        <v>207</v>
      </c>
      <c r="G25" t="s">
        <v>208</v>
      </c>
      <c r="H25" t="s">
        <v>288</v>
      </c>
      <c r="I25" t="s">
        <v>215</v>
      </c>
    </row>
    <row r="26" spans="1:9">
      <c r="A26" t="s">
        <v>289</v>
      </c>
      <c r="B26">
        <v>3602</v>
      </c>
      <c r="C26" t="s">
        <v>290</v>
      </c>
      <c r="D26" t="s">
        <v>291</v>
      </c>
      <c r="E26" t="s">
        <v>206</v>
      </c>
      <c r="F26" t="s">
        <v>207</v>
      </c>
      <c r="G26" t="s">
        <v>208</v>
      </c>
      <c r="H26" t="s">
        <v>292</v>
      </c>
      <c r="I26" t="s">
        <v>293</v>
      </c>
    </row>
    <row r="27" spans="1:9">
      <c r="A27" t="s">
        <v>294</v>
      </c>
      <c r="B27">
        <v>3603</v>
      </c>
      <c r="C27" t="s">
        <v>295</v>
      </c>
      <c r="D27" t="s">
        <v>296</v>
      </c>
      <c r="E27" t="s">
        <v>206</v>
      </c>
      <c r="F27" t="s">
        <v>207</v>
      </c>
      <c r="G27" t="s">
        <v>208</v>
      </c>
      <c r="H27" t="s">
        <v>297</v>
      </c>
      <c r="I27" t="s">
        <v>210</v>
      </c>
    </row>
    <row r="28" spans="1:9">
      <c r="A28" t="s">
        <v>298</v>
      </c>
      <c r="B28">
        <v>3604</v>
      </c>
      <c r="C28" t="s">
        <v>299</v>
      </c>
      <c r="D28" t="s">
        <v>300</v>
      </c>
      <c r="E28" t="s">
        <v>206</v>
      </c>
      <c r="F28" t="s">
        <v>207</v>
      </c>
      <c r="G28" t="s">
        <v>208</v>
      </c>
      <c r="H28" t="s">
        <v>301</v>
      </c>
      <c r="I28" t="s">
        <v>210</v>
      </c>
    </row>
    <row r="29" spans="1:9">
      <c r="A29" t="s">
        <v>302</v>
      </c>
      <c r="B29">
        <v>3605</v>
      </c>
      <c r="C29" t="s">
        <v>303</v>
      </c>
      <c r="D29" t="s">
        <v>304</v>
      </c>
      <c r="E29" t="s">
        <v>206</v>
      </c>
      <c r="F29" t="s">
        <v>207</v>
      </c>
      <c r="G29" t="s">
        <v>208</v>
      </c>
      <c r="H29" t="s">
        <v>305</v>
      </c>
      <c r="I29" t="s">
        <v>306</v>
      </c>
    </row>
    <row r="30" spans="1:9">
      <c r="A30" t="s">
        <v>307</v>
      </c>
      <c r="B30">
        <v>3606</v>
      </c>
      <c r="C30" t="s">
        <v>308</v>
      </c>
      <c r="D30" t="s">
        <v>309</v>
      </c>
      <c r="E30" t="s">
        <v>206</v>
      </c>
      <c r="F30" t="s">
        <v>207</v>
      </c>
      <c r="G30" t="s">
        <v>208</v>
      </c>
      <c r="H30" t="s">
        <v>310</v>
      </c>
      <c r="I30" t="s">
        <v>210</v>
      </c>
    </row>
    <row r="31" spans="1:9">
      <c r="A31" t="s">
        <v>311</v>
      </c>
      <c r="B31">
        <v>3607</v>
      </c>
      <c r="C31" t="s">
        <v>312</v>
      </c>
      <c r="D31" t="s">
        <v>312</v>
      </c>
      <c r="E31" t="s">
        <v>206</v>
      </c>
      <c r="F31" t="s">
        <v>207</v>
      </c>
      <c r="G31" t="s">
        <v>208</v>
      </c>
      <c r="H31" t="s">
        <v>313</v>
      </c>
      <c r="I31" t="s">
        <v>210</v>
      </c>
    </row>
    <row r="32" spans="1:9">
      <c r="A32" t="s">
        <v>314</v>
      </c>
      <c r="B32">
        <v>3608</v>
      </c>
      <c r="C32" t="s">
        <v>315</v>
      </c>
      <c r="D32" t="s">
        <v>315</v>
      </c>
      <c r="E32" t="s">
        <v>206</v>
      </c>
      <c r="F32" t="s">
        <v>207</v>
      </c>
      <c r="G32" t="s">
        <v>208</v>
      </c>
      <c r="H32" t="s">
        <v>316</v>
      </c>
      <c r="I32" t="s">
        <v>210</v>
      </c>
    </row>
    <row r="33" spans="1:9">
      <c r="A33" t="s">
        <v>317</v>
      </c>
      <c r="B33">
        <v>3609</v>
      </c>
      <c r="C33" t="s">
        <v>318</v>
      </c>
      <c r="D33" t="s">
        <v>319</v>
      </c>
      <c r="E33" t="s">
        <v>206</v>
      </c>
      <c r="F33" t="s">
        <v>207</v>
      </c>
      <c r="G33" t="s">
        <v>208</v>
      </c>
      <c r="H33" t="s">
        <v>320</v>
      </c>
      <c r="I33" t="s">
        <v>321</v>
      </c>
    </row>
    <row r="34" spans="1:9">
      <c r="A34" t="s">
        <v>322</v>
      </c>
      <c r="B34">
        <v>3610</v>
      </c>
      <c r="C34" t="s">
        <v>323</v>
      </c>
      <c r="D34" t="s">
        <v>323</v>
      </c>
      <c r="E34" t="s">
        <v>206</v>
      </c>
      <c r="F34" t="s">
        <v>207</v>
      </c>
      <c r="G34" t="s">
        <v>208</v>
      </c>
      <c r="H34" t="s">
        <v>324</v>
      </c>
      <c r="I34" t="s">
        <v>276</v>
      </c>
    </row>
    <row r="35" spans="1:9">
      <c r="A35" t="s">
        <v>325</v>
      </c>
      <c r="B35">
        <v>3611</v>
      </c>
      <c r="C35" t="s">
        <v>326</v>
      </c>
      <c r="D35" t="s">
        <v>326</v>
      </c>
      <c r="E35" t="s">
        <v>206</v>
      </c>
      <c r="F35" t="s">
        <v>207</v>
      </c>
      <c r="G35" t="s">
        <v>208</v>
      </c>
      <c r="H35" t="s">
        <v>327</v>
      </c>
      <c r="I35" t="s">
        <v>215</v>
      </c>
    </row>
    <row r="36" spans="1:9">
      <c r="A36" t="s">
        <v>342</v>
      </c>
      <c r="B36">
        <v>894</v>
      </c>
      <c r="C36" t="s">
        <v>343</v>
      </c>
      <c r="D36" t="s">
        <v>343</v>
      </c>
      <c r="E36" t="s">
        <v>41</v>
      </c>
      <c r="F36" t="s">
        <v>344</v>
      </c>
      <c r="G36" t="s">
        <v>208</v>
      </c>
      <c r="H36" t="s">
        <v>345</v>
      </c>
      <c r="I36" t="s">
        <v>210</v>
      </c>
    </row>
    <row r="37" spans="1:9">
      <c r="A37" t="s">
        <v>346</v>
      </c>
      <c r="B37">
        <v>895</v>
      </c>
      <c r="C37" t="s">
        <v>347</v>
      </c>
      <c r="D37" t="s">
        <v>347</v>
      </c>
      <c r="E37" t="s">
        <v>41</v>
      </c>
      <c r="F37" t="s">
        <v>344</v>
      </c>
      <c r="G37" t="s">
        <v>208</v>
      </c>
      <c r="H37" t="s">
        <v>348</v>
      </c>
      <c r="I37" t="s">
        <v>210</v>
      </c>
    </row>
    <row r="38" spans="1:9">
      <c r="A38" t="s">
        <v>349</v>
      </c>
      <c r="B38">
        <v>896</v>
      </c>
      <c r="C38" t="s">
        <v>350</v>
      </c>
      <c r="D38" t="s">
        <v>351</v>
      </c>
      <c r="E38" t="s">
        <v>41</v>
      </c>
      <c r="F38" t="s">
        <v>344</v>
      </c>
      <c r="G38" t="s">
        <v>208</v>
      </c>
      <c r="H38" t="s">
        <v>352</v>
      </c>
      <c r="I38" t="s">
        <v>276</v>
      </c>
    </row>
    <row r="39" spans="1:9">
      <c r="A39" t="s">
        <v>353</v>
      </c>
      <c r="B39">
        <v>897</v>
      </c>
      <c r="C39" t="s">
        <v>354</v>
      </c>
      <c r="D39" t="s">
        <v>355</v>
      </c>
      <c r="E39" t="s">
        <v>41</v>
      </c>
      <c r="F39" t="s">
        <v>344</v>
      </c>
      <c r="G39" t="s">
        <v>208</v>
      </c>
      <c r="H39" t="s">
        <v>356</v>
      </c>
      <c r="I39" t="s">
        <v>357</v>
      </c>
    </row>
    <row r="40" spans="1:9">
      <c r="A40" t="s">
        <v>358</v>
      </c>
      <c r="B40">
        <v>897</v>
      </c>
      <c r="C40" t="s">
        <v>359</v>
      </c>
      <c r="D40" t="s">
        <v>355</v>
      </c>
      <c r="E40" t="s">
        <v>41</v>
      </c>
      <c r="F40" t="s">
        <v>344</v>
      </c>
      <c r="G40" t="s">
        <v>208</v>
      </c>
      <c r="H40" t="s">
        <v>356</v>
      </c>
      <c r="I40" t="s">
        <v>357</v>
      </c>
    </row>
    <row r="41" spans="1:9">
      <c r="A41" t="s">
        <v>360</v>
      </c>
      <c r="B41">
        <v>898</v>
      </c>
      <c r="C41" t="s">
        <v>361</v>
      </c>
      <c r="D41" t="s">
        <v>362</v>
      </c>
      <c r="E41" t="s">
        <v>41</v>
      </c>
      <c r="F41" t="s">
        <v>344</v>
      </c>
      <c r="G41" t="s">
        <v>208</v>
      </c>
      <c r="H41" t="s">
        <v>363</v>
      </c>
      <c r="I41" t="s">
        <v>357</v>
      </c>
    </row>
    <row r="42" spans="1:9">
      <c r="A42" t="s">
        <v>364</v>
      </c>
      <c r="B42">
        <v>898</v>
      </c>
      <c r="C42" t="s">
        <v>365</v>
      </c>
      <c r="D42" t="s">
        <v>362</v>
      </c>
      <c r="E42" t="s">
        <v>41</v>
      </c>
      <c r="F42" t="s">
        <v>344</v>
      </c>
      <c r="G42" t="s">
        <v>208</v>
      </c>
      <c r="H42" t="s">
        <v>363</v>
      </c>
      <c r="I42" t="s">
        <v>357</v>
      </c>
    </row>
    <row r="43" spans="1:9">
      <c r="A43" t="s">
        <v>366</v>
      </c>
      <c r="B43">
        <v>898</v>
      </c>
      <c r="C43" t="s">
        <v>367</v>
      </c>
      <c r="D43" t="s">
        <v>362</v>
      </c>
      <c r="E43" t="s">
        <v>41</v>
      </c>
      <c r="F43" t="s">
        <v>344</v>
      </c>
      <c r="G43" t="s">
        <v>208</v>
      </c>
      <c r="H43" t="s">
        <v>363</v>
      </c>
      <c r="I43" t="s">
        <v>357</v>
      </c>
    </row>
    <row r="44" spans="1:9">
      <c r="A44" t="s">
        <v>368</v>
      </c>
      <c r="B44">
        <v>899</v>
      </c>
      <c r="C44" t="s">
        <v>369</v>
      </c>
      <c r="D44" t="s">
        <v>370</v>
      </c>
      <c r="E44" t="s">
        <v>41</v>
      </c>
      <c r="F44" t="s">
        <v>344</v>
      </c>
      <c r="G44" t="s">
        <v>208</v>
      </c>
      <c r="H44" t="s">
        <v>371</v>
      </c>
      <c r="I44" t="s">
        <v>357</v>
      </c>
    </row>
    <row r="45" spans="1:9">
      <c r="A45" t="s">
        <v>372</v>
      </c>
      <c r="B45">
        <v>899</v>
      </c>
      <c r="C45" t="s">
        <v>373</v>
      </c>
      <c r="D45" t="s">
        <v>370</v>
      </c>
      <c r="E45" t="s">
        <v>41</v>
      </c>
      <c r="F45" t="s">
        <v>344</v>
      </c>
      <c r="G45" t="s">
        <v>208</v>
      </c>
      <c r="H45" t="s">
        <v>371</v>
      </c>
      <c r="I45" t="s">
        <v>357</v>
      </c>
    </row>
    <row r="46" spans="1:9">
      <c r="A46" t="s">
        <v>374</v>
      </c>
      <c r="B46">
        <v>900</v>
      </c>
      <c r="C46" t="s">
        <v>375</v>
      </c>
      <c r="D46" t="s">
        <v>375</v>
      </c>
      <c r="E46" t="s">
        <v>41</v>
      </c>
      <c r="F46" t="s">
        <v>344</v>
      </c>
      <c r="G46" t="s">
        <v>208</v>
      </c>
      <c r="H46" t="s">
        <v>376</v>
      </c>
      <c r="I46" t="s">
        <v>357</v>
      </c>
    </row>
    <row r="47" spans="1:9">
      <c r="A47" t="s">
        <v>377</v>
      </c>
      <c r="B47">
        <v>901</v>
      </c>
      <c r="C47" t="s">
        <v>378</v>
      </c>
      <c r="D47" t="s">
        <v>378</v>
      </c>
      <c r="E47" t="s">
        <v>41</v>
      </c>
      <c r="F47" t="s">
        <v>344</v>
      </c>
      <c r="G47" t="s">
        <v>208</v>
      </c>
      <c r="H47" t="s">
        <v>379</v>
      </c>
      <c r="I47" t="s">
        <v>380</v>
      </c>
    </row>
    <row r="48" spans="1:9">
      <c r="A48" t="s">
        <v>381</v>
      </c>
      <c r="B48">
        <v>902</v>
      </c>
      <c r="C48" t="s">
        <v>382</v>
      </c>
      <c r="D48" t="s">
        <v>382</v>
      </c>
      <c r="E48" t="s">
        <v>41</v>
      </c>
      <c r="F48" t="s">
        <v>344</v>
      </c>
      <c r="G48" t="s">
        <v>208</v>
      </c>
      <c r="H48" t="s">
        <v>383</v>
      </c>
      <c r="I48" t="s">
        <v>384</v>
      </c>
    </row>
    <row r="49" spans="1:9">
      <c r="A49" t="s">
        <v>385</v>
      </c>
      <c r="B49">
        <v>903</v>
      </c>
      <c r="C49" t="s">
        <v>386</v>
      </c>
      <c r="D49" t="s">
        <v>386</v>
      </c>
      <c r="E49" t="s">
        <v>41</v>
      </c>
      <c r="F49" t="s">
        <v>344</v>
      </c>
      <c r="G49" t="s">
        <v>208</v>
      </c>
      <c r="H49" t="s">
        <v>387</v>
      </c>
      <c r="I49" t="s">
        <v>210</v>
      </c>
    </row>
    <row r="50" spans="1:9">
      <c r="A50" t="s">
        <v>388</v>
      </c>
      <c r="B50">
        <v>904</v>
      </c>
      <c r="C50" t="s">
        <v>389</v>
      </c>
      <c r="D50" t="s">
        <v>389</v>
      </c>
      <c r="E50" t="s">
        <v>41</v>
      </c>
      <c r="F50" t="s">
        <v>344</v>
      </c>
      <c r="G50" t="s">
        <v>208</v>
      </c>
      <c r="H50" t="s">
        <v>390</v>
      </c>
      <c r="I50" t="s">
        <v>391</v>
      </c>
    </row>
    <row r="51" spans="1:9">
      <c r="A51" t="s">
        <v>392</v>
      </c>
      <c r="B51">
        <v>905</v>
      </c>
      <c r="C51" t="s">
        <v>393</v>
      </c>
      <c r="D51" t="s">
        <v>393</v>
      </c>
      <c r="E51" t="s">
        <v>41</v>
      </c>
      <c r="F51" t="s">
        <v>344</v>
      </c>
      <c r="G51" t="s">
        <v>208</v>
      </c>
      <c r="H51" t="s">
        <v>394</v>
      </c>
      <c r="I51" t="s">
        <v>215</v>
      </c>
    </row>
    <row r="52" spans="1:9">
      <c r="A52" t="s">
        <v>395</v>
      </c>
      <c r="B52">
        <v>906</v>
      </c>
      <c r="C52" t="s">
        <v>396</v>
      </c>
      <c r="D52" t="s">
        <v>396</v>
      </c>
      <c r="E52" t="s">
        <v>41</v>
      </c>
      <c r="F52" t="s">
        <v>344</v>
      </c>
      <c r="G52" t="s">
        <v>208</v>
      </c>
      <c r="H52" t="s">
        <v>397</v>
      </c>
      <c r="I52" t="s">
        <v>210</v>
      </c>
    </row>
    <row r="53" spans="1:9">
      <c r="A53" t="s">
        <v>398</v>
      </c>
      <c r="B53">
        <v>907</v>
      </c>
      <c r="C53" t="s">
        <v>399</v>
      </c>
      <c r="D53" t="s">
        <v>400</v>
      </c>
      <c r="E53" t="s">
        <v>41</v>
      </c>
      <c r="F53" t="s">
        <v>344</v>
      </c>
      <c r="G53" t="s">
        <v>208</v>
      </c>
      <c r="H53" t="s">
        <v>401</v>
      </c>
      <c r="I53" t="s">
        <v>402</v>
      </c>
    </row>
    <row r="54" spans="1:9">
      <c r="A54" t="s">
        <v>403</v>
      </c>
      <c r="B54">
        <v>908</v>
      </c>
      <c r="C54" t="s">
        <v>404</v>
      </c>
      <c r="D54" t="s">
        <v>405</v>
      </c>
      <c r="E54" t="s">
        <v>41</v>
      </c>
      <c r="F54" t="s">
        <v>344</v>
      </c>
      <c r="G54" t="s">
        <v>208</v>
      </c>
      <c r="H54" t="s">
        <v>406</v>
      </c>
      <c r="I54" t="s">
        <v>357</v>
      </c>
    </row>
    <row r="55" spans="1:9">
      <c r="A55" t="s">
        <v>407</v>
      </c>
      <c r="B55">
        <v>908</v>
      </c>
      <c r="C55" t="s">
        <v>408</v>
      </c>
      <c r="D55" t="s">
        <v>405</v>
      </c>
      <c r="E55" t="s">
        <v>41</v>
      </c>
      <c r="F55" t="s">
        <v>344</v>
      </c>
      <c r="G55" t="s">
        <v>208</v>
      </c>
      <c r="H55" t="s">
        <v>406</v>
      </c>
      <c r="I55" t="s">
        <v>357</v>
      </c>
    </row>
    <row r="56" spans="1:9">
      <c r="A56" t="s">
        <v>409</v>
      </c>
      <c r="B56">
        <v>908</v>
      </c>
      <c r="C56" t="s">
        <v>410</v>
      </c>
      <c r="D56" t="s">
        <v>405</v>
      </c>
      <c r="E56" t="s">
        <v>41</v>
      </c>
      <c r="F56" t="s">
        <v>344</v>
      </c>
      <c r="G56" t="s">
        <v>208</v>
      </c>
      <c r="H56" t="s">
        <v>406</v>
      </c>
      <c r="I56" t="s">
        <v>357</v>
      </c>
    </row>
    <row r="57" spans="1:9">
      <c r="A57" t="s">
        <v>411</v>
      </c>
      <c r="B57">
        <v>909</v>
      </c>
      <c r="C57" t="s">
        <v>412</v>
      </c>
      <c r="D57" t="s">
        <v>412</v>
      </c>
      <c r="E57" t="s">
        <v>41</v>
      </c>
      <c r="F57" t="s">
        <v>344</v>
      </c>
      <c r="G57" t="s">
        <v>208</v>
      </c>
      <c r="H57" t="s">
        <v>413</v>
      </c>
      <c r="I57" t="s">
        <v>414</v>
      </c>
    </row>
    <row r="58" spans="1:9">
      <c r="A58" t="s">
        <v>415</v>
      </c>
      <c r="B58">
        <v>910</v>
      </c>
      <c r="C58" t="s">
        <v>416</v>
      </c>
      <c r="D58" t="s">
        <v>416</v>
      </c>
      <c r="E58" t="s">
        <v>41</v>
      </c>
      <c r="F58" t="s">
        <v>344</v>
      </c>
      <c r="G58" t="s">
        <v>208</v>
      </c>
      <c r="H58" t="s">
        <v>417</v>
      </c>
      <c r="I58" t="s">
        <v>418</v>
      </c>
    </row>
    <row r="59" spans="1:9">
      <c r="A59" t="s">
        <v>419</v>
      </c>
      <c r="B59">
        <v>911</v>
      </c>
      <c r="C59" t="s">
        <v>420</v>
      </c>
      <c r="D59" t="s">
        <v>420</v>
      </c>
      <c r="E59" t="s">
        <v>41</v>
      </c>
      <c r="F59" t="s">
        <v>344</v>
      </c>
      <c r="G59" t="s">
        <v>208</v>
      </c>
      <c r="H59" t="s">
        <v>421</v>
      </c>
      <c r="I59" t="s">
        <v>422</v>
      </c>
    </row>
    <row r="60" spans="1:9">
      <c r="A60" t="s">
        <v>423</v>
      </c>
      <c r="B60">
        <v>912</v>
      </c>
      <c r="C60" t="s">
        <v>424</v>
      </c>
      <c r="D60" t="s">
        <v>424</v>
      </c>
      <c r="E60" t="s">
        <v>41</v>
      </c>
      <c r="F60" t="s">
        <v>344</v>
      </c>
      <c r="G60" t="s">
        <v>208</v>
      </c>
      <c r="H60" t="s">
        <v>425</v>
      </c>
      <c r="I60" t="s">
        <v>426</v>
      </c>
    </row>
    <row r="61" spans="1:9">
      <c r="A61" t="s">
        <v>427</v>
      </c>
      <c r="B61">
        <v>913</v>
      </c>
      <c r="C61" t="s">
        <v>428</v>
      </c>
      <c r="D61" t="s">
        <v>428</v>
      </c>
      <c r="E61" t="s">
        <v>41</v>
      </c>
      <c r="F61" t="s">
        <v>344</v>
      </c>
      <c r="G61" t="s">
        <v>208</v>
      </c>
      <c r="H61" t="s">
        <v>429</v>
      </c>
      <c r="I61" t="s">
        <v>210</v>
      </c>
    </row>
    <row r="62" spans="1:9">
      <c r="A62" t="s">
        <v>430</v>
      </c>
      <c r="B62">
        <v>914</v>
      </c>
      <c r="C62" t="s">
        <v>431</v>
      </c>
      <c r="D62" t="s">
        <v>431</v>
      </c>
      <c r="E62" t="s">
        <v>41</v>
      </c>
      <c r="F62" t="s">
        <v>344</v>
      </c>
      <c r="G62" t="s">
        <v>208</v>
      </c>
      <c r="H62" t="s">
        <v>432</v>
      </c>
      <c r="I62" t="s">
        <v>210</v>
      </c>
    </row>
    <row r="63" spans="1:9">
      <c r="A63" t="s">
        <v>433</v>
      </c>
      <c r="B63">
        <v>915</v>
      </c>
      <c r="C63" t="s">
        <v>434</v>
      </c>
      <c r="D63" t="s">
        <v>434</v>
      </c>
      <c r="E63" t="s">
        <v>41</v>
      </c>
      <c r="F63" t="s">
        <v>344</v>
      </c>
      <c r="G63" t="s">
        <v>208</v>
      </c>
      <c r="H63" t="s">
        <v>435</v>
      </c>
      <c r="I63" t="s">
        <v>414</v>
      </c>
    </row>
    <row r="64" spans="1:9">
      <c r="A64" t="s">
        <v>436</v>
      </c>
      <c r="B64">
        <v>916</v>
      </c>
      <c r="C64" t="s">
        <v>437</v>
      </c>
      <c r="D64" t="s">
        <v>437</v>
      </c>
      <c r="E64" t="s">
        <v>41</v>
      </c>
      <c r="F64" t="s">
        <v>344</v>
      </c>
      <c r="G64" t="s">
        <v>208</v>
      </c>
      <c r="H64" t="s">
        <v>438</v>
      </c>
      <c r="I64" t="s">
        <v>439</v>
      </c>
    </row>
    <row r="65" spans="1:9">
      <c r="A65" t="s">
        <v>440</v>
      </c>
      <c r="B65">
        <v>917</v>
      </c>
      <c r="C65" t="s">
        <v>441</v>
      </c>
      <c r="D65" t="s">
        <v>441</v>
      </c>
      <c r="E65" t="s">
        <v>41</v>
      </c>
      <c r="F65" t="s">
        <v>344</v>
      </c>
      <c r="G65" t="s">
        <v>208</v>
      </c>
      <c r="H65" t="s">
        <v>442</v>
      </c>
      <c r="I65" t="s">
        <v>443</v>
      </c>
    </row>
    <row r="66" spans="1:9">
      <c r="A66" t="s">
        <v>444</v>
      </c>
      <c r="B66">
        <v>918</v>
      </c>
      <c r="C66" t="s">
        <v>445</v>
      </c>
      <c r="D66" t="s">
        <v>446</v>
      </c>
      <c r="E66" t="s">
        <v>41</v>
      </c>
      <c r="F66" t="s">
        <v>344</v>
      </c>
      <c r="G66" t="s">
        <v>208</v>
      </c>
      <c r="H66" t="s">
        <v>447</v>
      </c>
      <c r="I66" t="s">
        <v>357</v>
      </c>
    </row>
    <row r="67" spans="1:9">
      <c r="A67" t="s">
        <v>448</v>
      </c>
      <c r="B67">
        <v>919</v>
      </c>
      <c r="C67" t="s">
        <v>449</v>
      </c>
      <c r="D67" t="s">
        <v>449</v>
      </c>
      <c r="E67" t="s">
        <v>41</v>
      </c>
      <c r="F67" t="s">
        <v>344</v>
      </c>
      <c r="G67" t="s">
        <v>208</v>
      </c>
      <c r="H67" t="s">
        <v>450</v>
      </c>
      <c r="I67" t="s">
        <v>215</v>
      </c>
    </row>
    <row r="68" spans="1:9">
      <c r="A68" t="s">
        <v>451</v>
      </c>
      <c r="B68">
        <v>920</v>
      </c>
      <c r="C68" t="s">
        <v>452</v>
      </c>
      <c r="D68" t="s">
        <v>452</v>
      </c>
      <c r="E68" t="s">
        <v>41</v>
      </c>
      <c r="F68" t="s">
        <v>344</v>
      </c>
      <c r="G68" t="s">
        <v>208</v>
      </c>
      <c r="H68" t="s">
        <v>453</v>
      </c>
      <c r="I68" t="s">
        <v>357</v>
      </c>
    </row>
    <row r="69" spans="1:9">
      <c r="A69" t="s">
        <v>454</v>
      </c>
      <c r="B69">
        <v>921</v>
      </c>
      <c r="C69" t="s">
        <v>455</v>
      </c>
      <c r="D69" t="s">
        <v>455</v>
      </c>
      <c r="E69" t="s">
        <v>41</v>
      </c>
      <c r="F69" t="s">
        <v>344</v>
      </c>
      <c r="G69" t="s">
        <v>208</v>
      </c>
      <c r="H69" t="s">
        <v>456</v>
      </c>
      <c r="I69" t="s">
        <v>457</v>
      </c>
    </row>
    <row r="70" spans="1:9">
      <c r="A70" t="s">
        <v>458</v>
      </c>
      <c r="B70">
        <v>922</v>
      </c>
      <c r="C70" t="s">
        <v>459</v>
      </c>
      <c r="D70" t="s">
        <v>459</v>
      </c>
      <c r="E70" t="s">
        <v>41</v>
      </c>
      <c r="F70" t="s">
        <v>344</v>
      </c>
      <c r="G70" t="s">
        <v>208</v>
      </c>
      <c r="H70" t="s">
        <v>460</v>
      </c>
      <c r="I70" t="s">
        <v>357</v>
      </c>
    </row>
    <row r="71" spans="1:9">
      <c r="A71" t="s">
        <v>461</v>
      </c>
      <c r="B71">
        <v>923</v>
      </c>
      <c r="C71" t="s">
        <v>462</v>
      </c>
      <c r="D71" t="s">
        <v>462</v>
      </c>
      <c r="E71" t="s">
        <v>41</v>
      </c>
      <c r="F71" t="s">
        <v>344</v>
      </c>
      <c r="G71" t="s">
        <v>208</v>
      </c>
      <c r="H71" t="s">
        <v>463</v>
      </c>
      <c r="I71" t="s">
        <v>464</v>
      </c>
    </row>
    <row r="72" spans="1:9">
      <c r="A72" t="s">
        <v>465</v>
      </c>
      <c r="B72">
        <v>924</v>
      </c>
      <c r="C72" t="s">
        <v>466</v>
      </c>
      <c r="D72" t="s">
        <v>467</v>
      </c>
      <c r="E72" t="s">
        <v>41</v>
      </c>
      <c r="F72" t="s">
        <v>344</v>
      </c>
      <c r="G72" t="s">
        <v>208</v>
      </c>
      <c r="H72" t="s">
        <v>468</v>
      </c>
      <c r="I72" t="s">
        <v>469</v>
      </c>
    </row>
    <row r="73" spans="1:9">
      <c r="A73" t="s">
        <v>470</v>
      </c>
      <c r="B73">
        <v>925</v>
      </c>
      <c r="C73" t="s">
        <v>471</v>
      </c>
      <c r="D73" t="s">
        <v>471</v>
      </c>
      <c r="E73" t="s">
        <v>41</v>
      </c>
      <c r="F73" t="s">
        <v>344</v>
      </c>
      <c r="G73" t="s">
        <v>208</v>
      </c>
      <c r="H73" t="s">
        <v>472</v>
      </c>
      <c r="I73" t="s">
        <v>276</v>
      </c>
    </row>
    <row r="74" spans="1:9">
      <c r="A74" t="s">
        <v>473</v>
      </c>
      <c r="B74">
        <v>926</v>
      </c>
      <c r="C74" t="s">
        <v>474</v>
      </c>
      <c r="D74" t="s">
        <v>474</v>
      </c>
      <c r="E74" t="s">
        <v>41</v>
      </c>
      <c r="F74" t="s">
        <v>344</v>
      </c>
      <c r="G74" t="s">
        <v>208</v>
      </c>
      <c r="H74" t="s">
        <v>475</v>
      </c>
      <c r="I74" t="s">
        <v>276</v>
      </c>
    </row>
    <row r="75" spans="1:9">
      <c r="A75" t="s">
        <v>476</v>
      </c>
      <c r="B75">
        <v>927</v>
      </c>
      <c r="C75" t="s">
        <v>477</v>
      </c>
      <c r="D75" t="s">
        <v>477</v>
      </c>
      <c r="E75" t="s">
        <v>41</v>
      </c>
      <c r="F75" t="s">
        <v>344</v>
      </c>
      <c r="G75" t="s">
        <v>208</v>
      </c>
      <c r="H75" t="s">
        <v>478</v>
      </c>
      <c r="I75" t="s">
        <v>210</v>
      </c>
    </row>
    <row r="76" spans="1:9">
      <c r="A76" t="s">
        <v>479</v>
      </c>
      <c r="B76">
        <v>928</v>
      </c>
      <c r="C76" t="s">
        <v>480</v>
      </c>
      <c r="D76" t="s">
        <v>480</v>
      </c>
      <c r="E76" t="s">
        <v>41</v>
      </c>
      <c r="F76" t="s">
        <v>344</v>
      </c>
      <c r="G76" t="s">
        <v>208</v>
      </c>
      <c r="H76" t="s">
        <v>481</v>
      </c>
      <c r="I76" t="s">
        <v>482</v>
      </c>
    </row>
    <row r="77" spans="1:9">
      <c r="A77" t="s">
        <v>483</v>
      </c>
      <c r="B77">
        <v>929</v>
      </c>
      <c r="C77" t="s">
        <v>484</v>
      </c>
      <c r="D77" t="s">
        <v>484</v>
      </c>
      <c r="E77" t="s">
        <v>41</v>
      </c>
      <c r="F77" t="s">
        <v>344</v>
      </c>
      <c r="G77" t="s">
        <v>208</v>
      </c>
      <c r="H77" t="s">
        <v>485</v>
      </c>
      <c r="I77" t="s">
        <v>426</v>
      </c>
    </row>
    <row r="78" spans="1:9">
      <c r="A78" t="s">
        <v>486</v>
      </c>
      <c r="B78">
        <v>930</v>
      </c>
      <c r="C78" t="s">
        <v>487</v>
      </c>
      <c r="D78" t="s">
        <v>487</v>
      </c>
      <c r="E78" t="s">
        <v>41</v>
      </c>
      <c r="F78" t="s">
        <v>344</v>
      </c>
      <c r="G78" t="s">
        <v>208</v>
      </c>
      <c r="H78" t="s">
        <v>488</v>
      </c>
      <c r="I78" t="s">
        <v>210</v>
      </c>
    </row>
    <row r="79" spans="1:9">
      <c r="A79" t="s">
        <v>489</v>
      </c>
      <c r="B79">
        <v>931</v>
      </c>
      <c r="C79" t="s">
        <v>490</v>
      </c>
      <c r="D79" t="s">
        <v>490</v>
      </c>
      <c r="E79" t="s">
        <v>41</v>
      </c>
      <c r="F79" t="s">
        <v>344</v>
      </c>
      <c r="G79" t="s">
        <v>208</v>
      </c>
      <c r="H79" t="s">
        <v>491</v>
      </c>
      <c r="I79" t="s">
        <v>492</v>
      </c>
    </row>
    <row r="80" spans="1:9">
      <c r="A80" t="s">
        <v>493</v>
      </c>
      <c r="B80">
        <v>932</v>
      </c>
      <c r="C80" t="s">
        <v>494</v>
      </c>
      <c r="D80" t="s">
        <v>494</v>
      </c>
      <c r="E80" t="s">
        <v>41</v>
      </c>
      <c r="F80" t="s">
        <v>344</v>
      </c>
      <c r="G80" t="s">
        <v>208</v>
      </c>
      <c r="H80" t="s">
        <v>495</v>
      </c>
      <c r="I80" t="s">
        <v>210</v>
      </c>
    </row>
    <row r="81" spans="1:9">
      <c r="A81" t="s">
        <v>496</v>
      </c>
      <c r="B81">
        <v>933</v>
      </c>
      <c r="C81" t="s">
        <v>497</v>
      </c>
      <c r="D81" t="s">
        <v>497</v>
      </c>
      <c r="E81" t="s">
        <v>41</v>
      </c>
      <c r="F81" t="s">
        <v>344</v>
      </c>
      <c r="G81" t="s">
        <v>208</v>
      </c>
      <c r="H81" t="s">
        <v>498</v>
      </c>
      <c r="I81" t="s">
        <v>499</v>
      </c>
    </row>
    <row r="82" spans="1:9">
      <c r="A82" t="s">
        <v>500</v>
      </c>
      <c r="B82">
        <v>934</v>
      </c>
      <c r="C82" t="s">
        <v>501</v>
      </c>
      <c r="D82" t="s">
        <v>501</v>
      </c>
      <c r="E82" t="s">
        <v>41</v>
      </c>
      <c r="F82" t="s">
        <v>344</v>
      </c>
      <c r="G82" t="s">
        <v>208</v>
      </c>
      <c r="H82" t="s">
        <v>502</v>
      </c>
      <c r="I82" t="s">
        <v>457</v>
      </c>
    </row>
    <row r="83" spans="1:9">
      <c r="A83" t="s">
        <v>503</v>
      </c>
      <c r="B83">
        <v>935</v>
      </c>
      <c r="C83" t="s">
        <v>504</v>
      </c>
      <c r="D83" t="s">
        <v>505</v>
      </c>
      <c r="E83" t="s">
        <v>41</v>
      </c>
      <c r="F83" t="s">
        <v>344</v>
      </c>
      <c r="G83" t="s">
        <v>208</v>
      </c>
      <c r="H83" t="s">
        <v>506</v>
      </c>
      <c r="I83" t="s">
        <v>507</v>
      </c>
    </row>
    <row r="84" spans="1:9">
      <c r="A84" t="s">
        <v>508</v>
      </c>
      <c r="B84">
        <v>936</v>
      </c>
      <c r="C84" t="s">
        <v>509</v>
      </c>
      <c r="D84" t="s">
        <v>509</v>
      </c>
      <c r="E84" t="s">
        <v>41</v>
      </c>
      <c r="F84" t="s">
        <v>344</v>
      </c>
      <c r="G84" t="s">
        <v>208</v>
      </c>
      <c r="H84" t="s">
        <v>510</v>
      </c>
      <c r="I84" t="s">
        <v>357</v>
      </c>
    </row>
    <row r="85" spans="1:9">
      <c r="A85" t="s">
        <v>511</v>
      </c>
      <c r="B85">
        <v>937</v>
      </c>
      <c r="C85" t="s">
        <v>512</v>
      </c>
      <c r="D85" t="s">
        <v>512</v>
      </c>
      <c r="E85" t="s">
        <v>41</v>
      </c>
      <c r="F85" t="s">
        <v>344</v>
      </c>
      <c r="G85" t="s">
        <v>208</v>
      </c>
      <c r="H85" t="s">
        <v>513</v>
      </c>
      <c r="I85" t="s">
        <v>210</v>
      </c>
    </row>
    <row r="86" spans="1:9">
      <c r="A86" t="s">
        <v>514</v>
      </c>
      <c r="B86">
        <v>938</v>
      </c>
      <c r="C86" t="s">
        <v>515</v>
      </c>
      <c r="D86" t="s">
        <v>515</v>
      </c>
      <c r="E86" t="s">
        <v>41</v>
      </c>
      <c r="F86" t="s">
        <v>344</v>
      </c>
      <c r="G86" t="s">
        <v>208</v>
      </c>
      <c r="H86" t="s">
        <v>516</v>
      </c>
      <c r="I86" t="s">
        <v>517</v>
      </c>
    </row>
    <row r="87" spans="1:9">
      <c r="A87" t="s">
        <v>518</v>
      </c>
      <c r="B87">
        <v>939</v>
      </c>
      <c r="C87" t="s">
        <v>519</v>
      </c>
      <c r="D87" t="s">
        <v>519</v>
      </c>
      <c r="E87" t="s">
        <v>41</v>
      </c>
      <c r="F87" t="s">
        <v>344</v>
      </c>
      <c r="G87" t="s">
        <v>208</v>
      </c>
      <c r="H87" t="s">
        <v>520</v>
      </c>
      <c r="I87" t="s">
        <v>210</v>
      </c>
    </row>
    <row r="88" spans="1:9">
      <c r="A88" t="s">
        <v>521</v>
      </c>
      <c r="B88">
        <v>940</v>
      </c>
      <c r="C88" t="s">
        <v>522</v>
      </c>
      <c r="D88" t="s">
        <v>522</v>
      </c>
      <c r="E88" t="s">
        <v>41</v>
      </c>
      <c r="F88" t="s">
        <v>344</v>
      </c>
      <c r="G88" t="s">
        <v>208</v>
      </c>
      <c r="H88" t="s">
        <v>523</v>
      </c>
      <c r="I88" t="s">
        <v>524</v>
      </c>
    </row>
    <row r="89" spans="1:9">
      <c r="A89" t="s">
        <v>525</v>
      </c>
      <c r="B89">
        <v>941</v>
      </c>
      <c r="C89" t="s">
        <v>526</v>
      </c>
      <c r="D89" t="s">
        <v>526</v>
      </c>
      <c r="E89" t="s">
        <v>41</v>
      </c>
      <c r="F89" t="s">
        <v>344</v>
      </c>
      <c r="G89" t="s">
        <v>208</v>
      </c>
      <c r="H89" t="s">
        <v>527</v>
      </c>
      <c r="I89" t="s">
        <v>528</v>
      </c>
    </row>
    <row r="90" spans="1:9">
      <c r="A90" t="s">
        <v>529</v>
      </c>
      <c r="B90">
        <v>942</v>
      </c>
      <c r="C90" t="s">
        <v>530</v>
      </c>
      <c r="D90" t="s">
        <v>530</v>
      </c>
      <c r="E90" t="s">
        <v>41</v>
      </c>
      <c r="F90" t="s">
        <v>344</v>
      </c>
      <c r="G90" t="s">
        <v>208</v>
      </c>
      <c r="H90" t="s">
        <v>531</v>
      </c>
      <c r="I90" t="s">
        <v>215</v>
      </c>
    </row>
    <row r="91" spans="1:9">
      <c r="A91" t="s">
        <v>532</v>
      </c>
      <c r="B91">
        <v>943</v>
      </c>
      <c r="C91" t="s">
        <v>533</v>
      </c>
      <c r="D91" t="s">
        <v>533</v>
      </c>
      <c r="E91" t="s">
        <v>41</v>
      </c>
      <c r="F91" t="s">
        <v>344</v>
      </c>
      <c r="G91" t="s">
        <v>208</v>
      </c>
      <c r="H91" t="s">
        <v>534</v>
      </c>
      <c r="I91" t="s">
        <v>535</v>
      </c>
    </row>
    <row r="92" spans="1:9">
      <c r="A92" t="s">
        <v>536</v>
      </c>
      <c r="B92">
        <v>944</v>
      </c>
      <c r="C92" t="s">
        <v>537</v>
      </c>
      <c r="D92" t="s">
        <v>537</v>
      </c>
      <c r="E92" t="s">
        <v>41</v>
      </c>
      <c r="F92" t="s">
        <v>344</v>
      </c>
      <c r="G92" t="s">
        <v>208</v>
      </c>
      <c r="H92" t="s">
        <v>538</v>
      </c>
      <c r="I92" t="s">
        <v>482</v>
      </c>
    </row>
    <row r="93" spans="1:9">
      <c r="A93" t="s">
        <v>539</v>
      </c>
      <c r="B93">
        <v>945</v>
      </c>
      <c r="C93" t="s">
        <v>389</v>
      </c>
      <c r="D93" t="s">
        <v>389</v>
      </c>
      <c r="E93" t="s">
        <v>41</v>
      </c>
      <c r="F93" t="s">
        <v>344</v>
      </c>
      <c r="G93" t="s">
        <v>208</v>
      </c>
      <c r="H93" t="s">
        <v>540</v>
      </c>
      <c r="I93" t="s">
        <v>541</v>
      </c>
    </row>
    <row r="94" spans="1:9">
      <c r="A94" t="s">
        <v>542</v>
      </c>
      <c r="B94">
        <v>946</v>
      </c>
      <c r="C94" t="s">
        <v>543</v>
      </c>
      <c r="D94" t="s">
        <v>543</v>
      </c>
      <c r="E94" t="s">
        <v>41</v>
      </c>
      <c r="F94" t="s">
        <v>344</v>
      </c>
      <c r="G94" t="s">
        <v>208</v>
      </c>
      <c r="H94" t="s">
        <v>544</v>
      </c>
      <c r="I94" t="s">
        <v>499</v>
      </c>
    </row>
    <row r="95" spans="1:9">
      <c r="A95" t="s">
        <v>545</v>
      </c>
      <c r="B95">
        <v>947</v>
      </c>
      <c r="C95" t="s">
        <v>546</v>
      </c>
      <c r="D95" t="s">
        <v>546</v>
      </c>
      <c r="E95" t="s">
        <v>41</v>
      </c>
      <c r="F95" t="s">
        <v>344</v>
      </c>
      <c r="G95" t="s">
        <v>208</v>
      </c>
      <c r="H95" t="s">
        <v>547</v>
      </c>
      <c r="I95" t="s">
        <v>499</v>
      </c>
    </row>
    <row r="96" spans="1:9">
      <c r="A96" t="s">
        <v>548</v>
      </c>
      <c r="B96">
        <v>948</v>
      </c>
      <c r="C96" t="s">
        <v>549</v>
      </c>
      <c r="D96" t="s">
        <v>549</v>
      </c>
      <c r="E96" t="s">
        <v>41</v>
      </c>
      <c r="F96" t="s">
        <v>344</v>
      </c>
      <c r="G96" t="s">
        <v>208</v>
      </c>
      <c r="H96" t="s">
        <v>550</v>
      </c>
      <c r="I96" t="s">
        <v>215</v>
      </c>
    </row>
    <row r="97" spans="1:9">
      <c r="A97" t="s">
        <v>551</v>
      </c>
      <c r="B97">
        <v>949</v>
      </c>
      <c r="C97" t="s">
        <v>552</v>
      </c>
      <c r="D97" t="s">
        <v>552</v>
      </c>
      <c r="E97" t="s">
        <v>41</v>
      </c>
      <c r="F97" t="s">
        <v>344</v>
      </c>
      <c r="G97" t="s">
        <v>208</v>
      </c>
      <c r="H97" t="s">
        <v>553</v>
      </c>
      <c r="I97" t="s">
        <v>554</v>
      </c>
    </row>
    <row r="98" spans="1:9">
      <c r="A98" t="s">
        <v>555</v>
      </c>
      <c r="B98">
        <v>950</v>
      </c>
      <c r="C98" t="s">
        <v>556</v>
      </c>
      <c r="D98" t="s">
        <v>556</v>
      </c>
      <c r="E98" t="s">
        <v>41</v>
      </c>
      <c r="F98" t="s">
        <v>344</v>
      </c>
      <c r="G98" t="s">
        <v>208</v>
      </c>
      <c r="H98" t="s">
        <v>557</v>
      </c>
      <c r="I98" t="s">
        <v>443</v>
      </c>
    </row>
    <row r="99" spans="1:9">
      <c r="A99" t="s">
        <v>558</v>
      </c>
      <c r="B99">
        <v>951</v>
      </c>
      <c r="C99" t="s">
        <v>559</v>
      </c>
      <c r="D99" t="s">
        <v>559</v>
      </c>
      <c r="E99" t="s">
        <v>41</v>
      </c>
      <c r="F99" t="s">
        <v>344</v>
      </c>
      <c r="G99" t="s">
        <v>208</v>
      </c>
      <c r="H99" t="s">
        <v>560</v>
      </c>
      <c r="I99" t="s">
        <v>276</v>
      </c>
    </row>
    <row r="100" spans="1:9">
      <c r="A100" t="s">
        <v>561</v>
      </c>
      <c r="B100">
        <v>952</v>
      </c>
      <c r="C100" t="s">
        <v>562</v>
      </c>
      <c r="D100" t="s">
        <v>562</v>
      </c>
      <c r="E100" t="s">
        <v>41</v>
      </c>
      <c r="F100" t="s">
        <v>344</v>
      </c>
      <c r="G100" t="s">
        <v>208</v>
      </c>
      <c r="H100" t="s">
        <v>563</v>
      </c>
      <c r="I100" t="s">
        <v>564</v>
      </c>
    </row>
    <row r="101" spans="1:9">
      <c r="A101" t="s">
        <v>565</v>
      </c>
      <c r="B101">
        <v>953</v>
      </c>
      <c r="C101" t="s">
        <v>566</v>
      </c>
      <c r="D101" t="s">
        <v>566</v>
      </c>
      <c r="E101" t="s">
        <v>41</v>
      </c>
      <c r="F101" t="s">
        <v>344</v>
      </c>
      <c r="G101" t="s">
        <v>208</v>
      </c>
      <c r="H101" t="s">
        <v>567</v>
      </c>
      <c r="I101" t="s">
        <v>499</v>
      </c>
    </row>
    <row r="102" spans="1:9">
      <c r="A102" t="s">
        <v>568</v>
      </c>
      <c r="B102">
        <v>954</v>
      </c>
      <c r="C102" t="s">
        <v>569</v>
      </c>
      <c r="D102" t="s">
        <v>569</v>
      </c>
      <c r="E102" t="s">
        <v>41</v>
      </c>
      <c r="F102" t="s">
        <v>344</v>
      </c>
      <c r="G102" t="s">
        <v>208</v>
      </c>
      <c r="H102" t="s">
        <v>570</v>
      </c>
      <c r="I102" t="s">
        <v>426</v>
      </c>
    </row>
    <row r="103" spans="1:9">
      <c r="A103" t="s">
        <v>571</v>
      </c>
      <c r="B103">
        <v>955</v>
      </c>
      <c r="C103" t="s">
        <v>572</v>
      </c>
      <c r="D103" t="s">
        <v>572</v>
      </c>
      <c r="E103" t="s">
        <v>41</v>
      </c>
      <c r="F103" t="s">
        <v>344</v>
      </c>
      <c r="G103" t="s">
        <v>208</v>
      </c>
      <c r="H103" t="s">
        <v>573</v>
      </c>
      <c r="I103" t="s">
        <v>574</v>
      </c>
    </row>
    <row r="104" spans="1:9">
      <c r="A104" t="s">
        <v>575</v>
      </c>
      <c r="B104">
        <v>956</v>
      </c>
      <c r="C104" t="s">
        <v>576</v>
      </c>
      <c r="D104" t="s">
        <v>576</v>
      </c>
      <c r="E104" t="s">
        <v>41</v>
      </c>
      <c r="F104" t="s">
        <v>344</v>
      </c>
      <c r="G104" t="s">
        <v>208</v>
      </c>
      <c r="H104" t="s">
        <v>577</v>
      </c>
      <c r="I104" t="s">
        <v>414</v>
      </c>
    </row>
    <row r="105" spans="1:9">
      <c r="A105" t="s">
        <v>578</v>
      </c>
      <c r="B105">
        <v>957</v>
      </c>
      <c r="C105" t="s">
        <v>579</v>
      </c>
      <c r="D105" t="s">
        <v>579</v>
      </c>
      <c r="E105" t="s">
        <v>41</v>
      </c>
      <c r="F105" t="s">
        <v>344</v>
      </c>
      <c r="G105" t="s">
        <v>208</v>
      </c>
      <c r="H105" t="s">
        <v>580</v>
      </c>
      <c r="I105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Case Input</vt:lpstr>
      <vt:lpstr>Sheet2</vt:lpstr>
      <vt:lpstr>Sheet3</vt:lpstr>
      <vt:lpstr>Test Runs</vt:lpstr>
      <vt:lpstr>Rubric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Telegina Maria</cp:lastModifiedBy>
  <dcterms:modified xsi:type="dcterms:W3CDTF">2026-08-21T17:12:01Z</dcterms:modified>
</cp:coreProperties>
</file>